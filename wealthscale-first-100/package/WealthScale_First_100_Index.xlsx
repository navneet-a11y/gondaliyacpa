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ages" sheetId="1" state="visible" r:id="rId1"/>
    <sheet xmlns:r="http://schemas.openxmlformats.org/officeDocument/2006/relationships" name="Schedule" sheetId="2" state="visible" r:id="rId2"/>
    <sheet xmlns:r="http://schemas.openxmlformats.org/officeDocument/2006/relationships" name="Widgets" sheetId="3" state="visible" r:id="rId3"/>
    <sheet xmlns:r="http://schemas.openxmlformats.org/officeDocument/2006/relationships" name="Open items" sheetId="4" state="visible" r:id="rId4"/>
  </sheets>
  <definedNames>
    <definedName name="_xlnm._FilterDatabase" localSheetId="0" hidden="1">'Pages'!$A$1:$T$102</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mmm\ d&quot;, &quot;yyyy"/>
    <numFmt numFmtId="165" formatCode="dddd&quot;, &quot;mmm\ d&quot;, &quot;yyyy"/>
  </numFmts>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s>
  <fills count="3">
    <fill>
      <patternFill/>
    </fill>
    <fill>
      <patternFill patternType="gray125"/>
    </fill>
    <fill>
      <patternFill patternType="solid">
        <fgColor rgb="FF2B1A45"/>
        <bgColor rgb="FF333300"/>
      </patternFill>
    </fill>
  </fills>
  <borders count="2">
    <border>
      <left/>
      <right/>
      <top/>
      <bottom/>
      <diagonal/>
    </border>
    <border>
      <left style="thin">
        <color rgb="FFBFB6CF"/>
      </left>
      <right style="thin">
        <color rgb="FFBFB6CF"/>
      </right>
      <top style="thin">
        <color rgb="FFBFB6CF"/>
      </top>
      <bottom style="thin">
        <color rgb="FFBFB6C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3" fontId="5" fillId="0" borderId="1" applyAlignment="1" pivotButton="0" quotePrefix="0" xfId="0">
      <alignment horizontal="general" vertical="top" wrapText="1"/>
    </xf>
    <xf numFmtId="165"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3" fontId="5" fillId="0" borderId="1" applyAlignment="1" pivotButton="0" quotePrefix="0" xfId="0">
      <alignment horizontal="general" vertical="top" wrapText="1"/>
    </xf>
    <xf numFmtId="165"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B1A45"/>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6C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B1A4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T102"/>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6" customWidth="1" style="6" min="1" max="2"/>
    <col width="13" customWidth="1" style="6" min="3" max="3"/>
    <col width="52" customWidth="1" style="6" min="4" max="4"/>
    <col width="22" customWidth="1" style="6" min="5" max="5"/>
    <col width="34" customWidth="1" style="6" min="6" max="6"/>
    <col width="44" customWidth="1" style="6" min="7" max="7"/>
    <col width="50" customWidth="1" style="6" min="8" max="8"/>
    <col width="9" customWidth="1" style="6" min="9" max="9"/>
    <col width="60" customWidth="1" style="6" min="10" max="10"/>
    <col width="9" customWidth="1" style="6" min="11" max="11"/>
    <col width="32" customWidth="1" style="6" min="12" max="12"/>
    <col width="50" customWidth="1" style="6" min="13" max="13"/>
    <col width="16" customWidth="1" style="6" min="14" max="14"/>
    <col width="10" customWidth="1" style="6" min="15" max="15"/>
    <col width="38" customWidth="1" style="6" min="16" max="16"/>
    <col width="9" customWidth="1" style="6" min="17" max="17"/>
    <col width="48" customWidth="1" style="6" min="18" max="18"/>
    <col width="13" customWidth="1" style="6" min="19" max="20"/>
  </cols>
  <sheetData>
    <row r="1" ht="35.05" customHeight="1" s="7">
      <c r="A1" s="8" t="inlineStr">
        <is>
          <t>ID</t>
        </is>
      </c>
      <c r="B1" s="8" t="inlineStr">
        <is>
          <t>Day</t>
        </is>
      </c>
      <c r="C1" s="8" t="inlineStr">
        <is>
          <t>Publish date</t>
        </is>
      </c>
      <c r="D1" s="8" t="inlineStr">
        <is>
          <t>URL</t>
        </is>
      </c>
      <c r="E1" s="8" t="inlineStr">
        <is>
          <t>Parent page</t>
        </is>
      </c>
      <c r="F1" s="8" t="inlineStr">
        <is>
          <t>WP page title</t>
        </is>
      </c>
      <c r="G1" s="8" t="inlineStr">
        <is>
          <t>H1</t>
        </is>
      </c>
      <c r="H1" s="8" t="inlineStr">
        <is>
          <t>SEO title (Rank Math)</t>
        </is>
      </c>
      <c r="I1" s="8" t="inlineStr">
        <is>
          <t>SEO title length</t>
        </is>
      </c>
      <c r="J1" s="8" t="inlineStr">
        <is>
          <t>Meta description (Rank Math)</t>
        </is>
      </c>
      <c r="K1" s="8" t="inlineStr">
        <is>
          <t>Meta length</t>
        </is>
      </c>
      <c r="L1" s="8" t="inlineStr">
        <is>
          <t>Focus keyword</t>
        </is>
      </c>
      <c r="M1" s="8" t="inlineStr">
        <is>
          <t>Secondary keywords</t>
        </is>
      </c>
      <c r="N1" s="8" t="inlineStr">
        <is>
          <t>Page type</t>
        </is>
      </c>
      <c r="O1" s="8" t="inlineStr">
        <is>
          <t>Neha review scope</t>
        </is>
      </c>
      <c r="P1" s="8" t="inlineStr">
        <is>
          <t>Widgets on page</t>
        </is>
      </c>
      <c r="Q1" s="8" t="inlineStr">
        <is>
          <t>Words</t>
        </is>
      </c>
      <c r="R1" s="8" t="inlineStr">
        <is>
          <t>File to paste</t>
        </is>
      </c>
      <c r="S1" s="8" t="inlineStr">
        <is>
          <t>Status</t>
        </is>
      </c>
      <c r="T1" s="8" t="inlineStr">
        <is>
          <t>Live date</t>
        </is>
      </c>
    </row>
    <row r="2" ht="35.05" customHeight="1" s="7">
      <c r="A2" s="9" t="n">
        <v>1</v>
      </c>
      <c r="B2" s="9" t="n">
        <v>1</v>
      </c>
      <c r="C2" s="10" t="n">
        <v>46318</v>
      </c>
      <c r="D2" s="9" t="inlineStr">
        <is>
          <t>https://wealthscale.ca/</t>
        </is>
      </c>
      <c r="E2" s="9" t="inlineStr">
        <is>
          <t>(none)</t>
        </is>
      </c>
      <c r="F2" s="9" t="inlineStr">
        <is>
          <t>Home</t>
        </is>
      </c>
      <c r="G2" s="9" t="inlineStr">
        <is>
          <t>Compare Canadian Investing Accounts, Platforms and Banking</t>
        </is>
      </c>
      <c r="H2" s="9" t="inlineStr">
        <is>
          <t>Best Investment Platform Canada: Compare Brokers and Rates</t>
        </is>
      </c>
      <c r="I2" s="9">
        <f>LEN(H2)</f>
        <v/>
      </c>
      <c r="J2" s="9" t="inlineStr">
        <is>
          <t>Best investment platform Canada: compare 13 online brokers, robo-advisors, savings rates and GICs, with 2026 limits such as the $7,000 TFSA limit.</t>
        </is>
      </c>
      <c r="K2" s="9">
        <f>LEN(J2)</f>
        <v/>
      </c>
      <c r="L2" s="9" t="inlineStr">
        <is>
          <t>best investment platform canada</t>
        </is>
      </c>
      <c r="M2" s="9" t="inlineStr">
        <is>
          <t>best investing platform canada, online brokers canada, tfsa rrsp fhsa resp, best savings account canada, investment calculators canada</t>
        </is>
      </c>
      <c r="N2" s="9" t="inlineStr">
        <is>
          <t>home</t>
        </is>
      </c>
      <c r="O2" s="9" t="inlineStr">
        <is>
          <t>Yes</t>
        </is>
      </c>
      <c r="P2" s="9" t="inlineStr">
        <is>
          <t>account-chooser, tfsa-room, benefit-dates</t>
        </is>
      </c>
      <c r="Q2" s="11" t="n">
        <v>6667</v>
      </c>
      <c r="R2" s="9" t="inlineStr">
        <is>
          <t>pages-paste/001-home.html</t>
        </is>
      </c>
      <c r="S2" s="9" t="inlineStr">
        <is>
          <t>Not started</t>
        </is>
      </c>
      <c r="T2" s="10" t="n"/>
    </row>
    <row r="3" ht="35.05" customHeight="1" s="7">
      <c r="A3" s="9" t="n">
        <v>2</v>
      </c>
      <c r="B3" s="9" t="n">
        <v>1</v>
      </c>
      <c r="C3" s="10" t="n">
        <v>46318</v>
      </c>
      <c r="D3" s="9" t="inlineStr">
        <is>
          <t>https://wealthscale.ca/about/</t>
        </is>
      </c>
      <c r="E3" s="9" t="inlineStr">
        <is>
          <t>(none)</t>
        </is>
      </c>
      <c r="F3" s="9" t="inlineStr">
        <is>
          <t>About</t>
        </is>
      </c>
      <c r="G3" s="9" t="inlineStr">
        <is>
          <t>About WealthScale</t>
        </is>
      </c>
      <c r="H3" s="9" t="inlineStr">
        <is>
          <t>WealthScale: About Our CPA Writer and CFA Charterholder</t>
        </is>
      </c>
      <c r="I3" s="9">
        <f>LEN(H3)</f>
        <v/>
      </c>
      <c r="J3" s="9" t="inlineStr">
        <is>
          <t>WealthScale compares Canadian investing, savings and bank accounts on real costs. Written by a CPA with 15+ years in tax, reviewed by a CFA charterholder.</t>
        </is>
      </c>
      <c r="K3" s="9">
        <f>LEN(J3)</f>
        <v/>
      </c>
      <c r="L3" s="9" t="inlineStr">
        <is>
          <t>wealthscale</t>
        </is>
      </c>
      <c r="M3" s="9" t="inlineStr">
        <is>
          <t>about wealthscale, wealthscale media inc, who runs wealthscale</t>
        </is>
      </c>
      <c r="N3" s="9" t="inlineStr">
        <is>
          <t>trust</t>
        </is>
      </c>
      <c r="O3" s="9" t="inlineStr">
        <is>
          <t>No</t>
        </is>
      </c>
      <c r="P3" s="9" t="n"/>
      <c r="Q3" s="11" t="n">
        <v>2514</v>
      </c>
      <c r="R3" s="9" t="inlineStr">
        <is>
          <t>pages-paste/002-about.html</t>
        </is>
      </c>
      <c r="S3" s="9" t="inlineStr">
        <is>
          <t>Not started</t>
        </is>
      </c>
      <c r="T3" s="10" t="n"/>
    </row>
    <row r="4" ht="35.05" customHeight="1" s="7">
      <c r="A4" s="9" t="n">
        <v>3</v>
      </c>
      <c r="B4" s="9" t="n">
        <v>1</v>
      </c>
      <c r="C4" s="10" t="n">
        <v>46318</v>
      </c>
      <c r="D4" s="9" t="inlineStr">
        <is>
          <t>https://wealthscale.ca/about/sharad-gondaliya/</t>
        </is>
      </c>
      <c r="E4" s="9" t="inlineStr">
        <is>
          <t>/about/</t>
        </is>
      </c>
      <c r="F4" s="9" t="inlineStr">
        <is>
          <t>Sharad Gondaliya, CPA</t>
        </is>
      </c>
      <c r="G4" s="9" t="inlineStr">
        <is>
          <t>Sharad Gondaliya, CPA</t>
        </is>
      </c>
      <c r="H4" s="9" t="inlineStr">
        <is>
          <t>Sharad Gondaliya, CPA: Writer and Tax Reviewer</t>
        </is>
      </c>
      <c r="I4" s="9">
        <f>LEN(H4)</f>
        <v/>
      </c>
      <c r="J4" s="9" t="inlineStr">
        <is>
          <t>Sharad Gondaliya, CPA writes WealthScale's pages. CPA Ontario No. 61040184, Certified Public Accountant in Washington and Montana, 15+ years in tax.</t>
        </is>
      </c>
      <c r="K4" s="9">
        <f>LEN(J4)</f>
        <v/>
      </c>
      <c r="L4" s="9" t="inlineStr">
        <is>
          <t>sharad gondaliya cpa</t>
        </is>
      </c>
      <c r="M4" s="9" t="inlineStr">
        <is>
          <t>sharad gondaliya, sharadkumar gondaliya cpa, wealthscale cpa reviewer</t>
        </is>
      </c>
      <c r="N4" s="9" t="inlineStr">
        <is>
          <t>profile</t>
        </is>
      </c>
      <c r="O4" s="9" t="inlineStr">
        <is>
          <t>No</t>
        </is>
      </c>
      <c r="P4" s="9" t="n"/>
      <c r="Q4" s="11" t="n">
        <v>1634</v>
      </c>
      <c r="R4" s="9" t="inlineStr">
        <is>
          <t>pages-paste/003-about-sharad-gondaliya.html</t>
        </is>
      </c>
      <c r="S4" s="9" t="inlineStr">
        <is>
          <t>Not started</t>
        </is>
      </c>
      <c r="T4" s="10" t="n"/>
    </row>
    <row r="5" ht="35.05" customHeight="1" s="7">
      <c r="A5" s="9" t="n">
        <v>4</v>
      </c>
      <c r="B5" s="9" t="n">
        <v>1</v>
      </c>
      <c r="C5" s="10" t="n">
        <v>46318</v>
      </c>
      <c r="D5" s="9" t="inlineStr">
        <is>
          <t>https://wealthscale.ca/editorial-standards/</t>
        </is>
      </c>
      <c r="E5" s="9" t="inlineStr">
        <is>
          <t>(none)</t>
        </is>
      </c>
      <c r="F5" s="9" t="inlineStr">
        <is>
          <t>Editorial Standards</t>
        </is>
      </c>
      <c r="G5" s="9" t="inlineStr">
        <is>
          <t>Editorial Standards</t>
        </is>
      </c>
      <c r="H5" s="9" t="inlineStr">
        <is>
          <t>WealthScale Editorial Standards: How We Write and Check</t>
        </is>
      </c>
      <c r="I5" s="9">
        <f>LEN(H5)</f>
        <v/>
      </c>
      <c r="J5" s="9" t="inlineStr">
        <is>
          <t>WealthScale editorial standards: pages written by a CPA with 15+ years in tax, investing pages reviewed by a CFA charterholder, rates re-checked weekly.</t>
        </is>
      </c>
      <c r="K5" s="9">
        <f>LEN(J5)</f>
        <v/>
      </c>
      <c r="L5" s="9" t="inlineStr">
        <is>
          <t>wealthscale editorial standards</t>
        </is>
      </c>
      <c r="M5" s="9" t="inlineStr">
        <is>
          <t>how wealthscale writes, fact checking, financial review process</t>
        </is>
      </c>
      <c r="N5" s="9" t="inlineStr">
        <is>
          <t>trust</t>
        </is>
      </c>
      <c r="O5" s="9" t="inlineStr">
        <is>
          <t>No</t>
        </is>
      </c>
      <c r="P5" s="9" t="n"/>
      <c r="Q5" s="11" t="n">
        <v>2528</v>
      </c>
      <c r="R5" s="9" t="inlineStr">
        <is>
          <t>pages-paste/004-editorial-standards.html</t>
        </is>
      </c>
      <c r="S5" s="9" t="inlineStr">
        <is>
          <t>Not started</t>
        </is>
      </c>
      <c r="T5" s="10" t="n"/>
    </row>
    <row r="6" ht="35.05" customHeight="1" s="7">
      <c r="A6" s="9" t="n">
        <v>5</v>
      </c>
      <c r="B6" s="9" t="n">
        <v>1</v>
      </c>
      <c r="C6" s="10" t="n">
        <v>46318</v>
      </c>
      <c r="D6" s="9" t="inlineStr">
        <is>
          <t>https://wealthscale.ca/how-we-make-money/</t>
        </is>
      </c>
      <c r="E6" s="9" t="inlineStr">
        <is>
          <t>(none)</t>
        </is>
      </c>
      <c r="F6" s="9" t="inlineStr">
        <is>
          <t>How We Make Money</t>
        </is>
      </c>
      <c r="G6" s="9" t="inlineStr">
        <is>
          <t>How WealthScale Makes Money</t>
        </is>
      </c>
      <c r="H6" s="9" t="inlineStr">
        <is>
          <t>WealthScale Advertiser Disclosure: How We Make Money</t>
        </is>
      </c>
      <c r="I6" s="9">
        <f>LEN(H6)</f>
        <v/>
      </c>
      <c r="J6" s="9" t="inlineStr">
        <is>
          <t>WealthScale advertiser disclosure: the site has 0 partner links today. Payment will never change which providers we include, their score or their order.</t>
        </is>
      </c>
      <c r="K6" s="9">
        <f>LEN(J6)</f>
        <v/>
      </c>
      <c r="L6" s="9" t="inlineStr">
        <is>
          <t>wealthscale advertiser disclosure</t>
        </is>
      </c>
      <c r="M6" s="9" t="inlineStr">
        <is>
          <t>advertiser disclosure, affiliate disclosure, partner links</t>
        </is>
      </c>
      <c r="N6" s="9" t="inlineStr">
        <is>
          <t>trust</t>
        </is>
      </c>
      <c r="O6" s="9" t="inlineStr">
        <is>
          <t>No</t>
        </is>
      </c>
      <c r="P6" s="9" t="n"/>
      <c r="Q6" s="11" t="n">
        <v>2106</v>
      </c>
      <c r="R6" s="9" t="inlineStr">
        <is>
          <t>pages-paste/005-how-we-make-money.html</t>
        </is>
      </c>
      <c r="S6" s="9" t="inlineStr">
        <is>
          <t>Not started</t>
        </is>
      </c>
      <c r="T6" s="10" t="n"/>
    </row>
    <row r="7" ht="35.05" customHeight="1" s="7">
      <c r="A7" s="9" t="n">
        <v>6</v>
      </c>
      <c r="B7" s="9" t="n">
        <v>1</v>
      </c>
      <c r="C7" s="10" t="n">
        <v>46318</v>
      </c>
      <c r="D7" s="9" t="inlineStr">
        <is>
          <t>https://wealthscale.ca/contact/</t>
        </is>
      </c>
      <c r="E7" s="9" t="inlineStr">
        <is>
          <t>(none)</t>
        </is>
      </c>
      <c r="F7" s="9" t="inlineStr">
        <is>
          <t>Contact</t>
        </is>
      </c>
      <c r="G7" s="9" t="inlineStr">
        <is>
          <t>Contact WealthScale</t>
        </is>
      </c>
      <c r="H7" s="9" t="inlineStr">
        <is>
          <t>Contact WealthScale: Email, Corrections and Media Enquiries</t>
        </is>
      </c>
      <c r="I7" s="9">
        <f>LEN(H7)</f>
        <v/>
      </c>
      <c r="J7" s="9" t="inlineStr">
        <is>
          <t>Contact WealthScale at info@wealthscale.ca for questions, corrections and media, or privacy@wealthscale.ca. We aim to reply within 2 business days.</t>
        </is>
      </c>
      <c r="K7" s="9">
        <f>LEN(J7)</f>
        <v/>
      </c>
      <c r="L7" s="9" t="inlineStr">
        <is>
          <t>contact wealthscale</t>
        </is>
      </c>
      <c r="M7" s="9" t="inlineStr">
        <is>
          <t>wealthscale email, report an error, media enquiries</t>
        </is>
      </c>
      <c r="N7" s="9" t="inlineStr">
        <is>
          <t>trust</t>
        </is>
      </c>
      <c r="O7" s="9" t="inlineStr">
        <is>
          <t>No</t>
        </is>
      </c>
      <c r="P7" s="9" t="n"/>
      <c r="Q7" s="11" t="n">
        <v>1787</v>
      </c>
      <c r="R7" s="9" t="inlineStr">
        <is>
          <t>pages-paste/006-contact.html</t>
        </is>
      </c>
      <c r="S7" s="9" t="inlineStr">
        <is>
          <t>Not started</t>
        </is>
      </c>
      <c r="T7" s="10" t="n"/>
    </row>
    <row r="8" ht="35.05" customHeight="1" s="7">
      <c r="A8" s="9" t="n">
        <v>9</v>
      </c>
      <c r="B8" s="9" t="n">
        <v>1</v>
      </c>
      <c r="C8" s="10" t="n">
        <v>46318</v>
      </c>
      <c r="D8" s="9" t="inlineStr">
        <is>
          <t>https://wealthscale.ca/methodology/brokers/</t>
        </is>
      </c>
      <c r="E8" s="9" t="inlineStr">
        <is>
          <t>/methodology/</t>
        </is>
      </c>
      <c r="F8" s="9" t="inlineStr">
        <is>
          <t>Broker Rating Methodology</t>
        </is>
      </c>
      <c r="G8" s="9" t="inlineStr">
        <is>
          <t>How We Rate Online Brokers and Robo-Advisors</t>
        </is>
      </c>
      <c r="H8" s="9" t="inlineStr">
        <is>
          <t>Broker Rating Methodology: How We Score Canadian Brokers</t>
        </is>
      </c>
      <c r="I8" s="9">
        <f>LEN(H8)</f>
        <v/>
      </c>
      <c r="J8" s="9" t="inlineStr">
        <is>
          <t>Our broker rating methodology: six factors with cost weighted 35%, two priced investor profiles and every current score for brokers, robos and banks.</t>
        </is>
      </c>
      <c r="K8" s="9">
        <f>LEN(J8)</f>
        <v/>
      </c>
      <c r="L8" s="9" t="inlineStr">
        <is>
          <t>broker rating methodology</t>
        </is>
      </c>
      <c r="M8" s="9" t="inlineStr">
        <is>
          <t>how we rank brokers, broker scoring, robo-advisor ratings</t>
        </is>
      </c>
      <c r="N8" s="9" t="inlineStr">
        <is>
          <t>trust</t>
        </is>
      </c>
      <c r="O8" s="9" t="inlineStr">
        <is>
          <t>Yes</t>
        </is>
      </c>
      <c r="P8" s="9" t="inlineStr">
        <is>
          <t>broker-match</t>
        </is>
      </c>
      <c r="Q8" s="11" t="n">
        <v>9601</v>
      </c>
      <c r="R8" s="9" t="inlineStr">
        <is>
          <t>pages-paste/009-methodology-brokers.html</t>
        </is>
      </c>
      <c r="S8" s="9" t="inlineStr">
        <is>
          <t>Not started</t>
        </is>
      </c>
      <c r="T8" s="10" t="n"/>
    </row>
    <row r="9" ht="35.05" customHeight="1" s="7">
      <c r="A9" s="9" t="n">
        <v>10</v>
      </c>
      <c r="B9" s="9" t="n">
        <v>1</v>
      </c>
      <c r="C9" s="10" t="n">
        <v>46318</v>
      </c>
      <c r="D9" s="9" t="inlineStr">
        <is>
          <t>https://wealthscale.ca/accounts/</t>
        </is>
      </c>
      <c r="E9" s="9" t="inlineStr">
        <is>
          <t>(none)</t>
        </is>
      </c>
      <c r="F9" s="9" t="inlineStr">
        <is>
          <t>Investment Accounts</t>
        </is>
      </c>
      <c r="G9" s="9" t="inlineStr">
        <is>
          <t>Investment Accounts in Canada: TFSA, RRSP, FHSA, RESP and More</t>
        </is>
      </c>
      <c r="H9" s="9" t="inlineStr">
        <is>
          <t>Types of Investment Accounts Canada: TFSA, RRSP and More</t>
        </is>
      </c>
      <c r="I9" s="9">
        <f>LEN(H9)</f>
        <v/>
      </c>
      <c r="J9" s="9" t="inlineStr">
        <is>
          <t>Types of investment accounts Canada: TFSA, RRSP, FHSA, RESP, RRIF, LIRA and non-registered compared, with 2026 limits like the $7,000 TFSA limit.</t>
        </is>
      </c>
      <c r="K9" s="9">
        <f>LEN(J9)</f>
        <v/>
      </c>
      <c r="L9" s="9" t="inlineStr">
        <is>
          <t>types of investment accounts canada</t>
        </is>
      </c>
      <c r="M9" s="9" t="inlineStr">
        <is>
          <t>registered accounts canada, tfsa vs rrsp vs fhsa, registered vs non-registered</t>
        </is>
      </c>
      <c r="N9" s="9" t="inlineStr">
        <is>
          <t>hub</t>
        </is>
      </c>
      <c r="O9" s="9" t="inlineStr">
        <is>
          <t>Yes</t>
        </is>
      </c>
      <c r="P9" s="9" t="inlineStr">
        <is>
          <t>account-chooser, tfsa-room</t>
        </is>
      </c>
      <c r="Q9" s="11" t="n">
        <v>5619</v>
      </c>
      <c r="R9" s="9" t="inlineStr">
        <is>
          <t>pages-paste/010-accounts.html</t>
        </is>
      </c>
      <c r="S9" s="9" t="inlineStr">
        <is>
          <t>Not started</t>
        </is>
      </c>
      <c r="T9" s="10" t="n"/>
    </row>
    <row r="10" ht="35.05" customHeight="1" s="7">
      <c r="A10" s="9" t="n">
        <v>11</v>
      </c>
      <c r="B10" s="9" t="n">
        <v>1</v>
      </c>
      <c r="C10" s="10" t="n">
        <v>46318</v>
      </c>
      <c r="D10" s="9" t="inlineStr">
        <is>
          <t>https://wealthscale.ca/compare/</t>
        </is>
      </c>
      <c r="E10" s="9" t="inlineStr">
        <is>
          <t>(none)</t>
        </is>
      </c>
      <c r="F10" s="9" t="inlineStr">
        <is>
          <t>Compare Online Brokers</t>
        </is>
      </c>
      <c r="G10" s="9" t="inlineStr">
        <is>
          <t>Compare Online Brokers and Investing Platforms in Canada</t>
        </is>
      </c>
      <c r="H10" s="9" t="inlineStr">
        <is>
          <t>Compare Online Brokers Canada: Fees, FX Costs and Scores</t>
        </is>
      </c>
      <c r="I10" s="9">
        <f>LEN(H10)</f>
        <v/>
      </c>
      <c r="J10" s="9" t="inlineStr">
        <is>
          <t>Compare online brokers Canada-wide: 13 brokers scored on cost, FX and accounts. Interactive Brokers leads at 4.4 / 5, and seven charge $0 commissions.</t>
        </is>
      </c>
      <c r="K10" s="9">
        <f>LEN(J10)</f>
        <v/>
      </c>
      <c r="L10" s="9" t="inlineStr">
        <is>
          <t>compare online brokers canada</t>
        </is>
      </c>
      <c r="M10" s="9" t="inlineStr">
        <is>
          <t>online brokerage comparison canada, investing platforms canada, discount brokers canada</t>
        </is>
      </c>
      <c r="N10" s="9" t="inlineStr">
        <is>
          <t>hub</t>
        </is>
      </c>
      <c r="O10" s="9" t="inlineStr">
        <is>
          <t>Yes</t>
        </is>
      </c>
      <c r="P10" s="9" t="inlineStr">
        <is>
          <t>broker-match, broker-cost</t>
        </is>
      </c>
      <c r="Q10" s="11" t="n">
        <v>5373</v>
      </c>
      <c r="R10" s="9" t="inlineStr">
        <is>
          <t>pages-paste/011-compare.html</t>
        </is>
      </c>
      <c r="S10" s="9" t="inlineStr">
        <is>
          <t>Not started</t>
        </is>
      </c>
      <c r="T10" s="10" t="n"/>
    </row>
    <row r="11" ht="35.05" customHeight="1" s="7">
      <c r="A11" s="9" t="n">
        <v>12</v>
      </c>
      <c r="B11" s="9" t="n">
        <v>1</v>
      </c>
      <c r="C11" s="10" t="n">
        <v>46318</v>
      </c>
      <c r="D11" s="9" t="inlineStr">
        <is>
          <t>https://wealthscale.ca/reviews/</t>
        </is>
      </c>
      <c r="E11" s="9" t="inlineStr">
        <is>
          <t>(none)</t>
        </is>
      </c>
      <c r="F11" s="9" t="inlineStr">
        <is>
          <t>Reviews</t>
        </is>
      </c>
      <c r="G11" s="9" t="inlineStr">
        <is>
          <t>Canadian Broker, Bank and Platform Reviews</t>
        </is>
      </c>
      <c r="H11" s="9" t="inlineStr">
        <is>
          <t>Online Broker Reviews Canada: Scores, Verdicts and Costs</t>
        </is>
      </c>
      <c r="I11" s="9">
        <f>LEN(H11)</f>
        <v/>
      </c>
      <c r="J11" s="9" t="inlineStr">
        <is>
          <t>Online broker reviews Canada: 21 reviews with scores and one-line verdicts, led by Interactive Brokers at 4.4 / 5. No provider pays for a review.</t>
        </is>
      </c>
      <c r="K11" s="9">
        <f>LEN(J11)</f>
        <v/>
      </c>
      <c r="L11" s="9" t="inlineStr">
        <is>
          <t>online broker reviews canada</t>
        </is>
      </c>
      <c r="M11" s="9" t="inlineStr">
        <is>
          <t>questrade review, wealthsimple review, eq bank review, broker reviews</t>
        </is>
      </c>
      <c r="N11" s="9" t="inlineStr">
        <is>
          <t>hub</t>
        </is>
      </c>
      <c r="O11" s="9" t="inlineStr">
        <is>
          <t>Yes</t>
        </is>
      </c>
      <c r="P11" s="9" t="inlineStr">
        <is>
          <t>broker-match</t>
        </is>
      </c>
      <c r="Q11" s="11" t="n">
        <v>4531</v>
      </c>
      <c r="R11" s="9" t="inlineStr">
        <is>
          <t>pages-paste/012-reviews.html</t>
        </is>
      </c>
      <c r="S11" s="9" t="inlineStr">
        <is>
          <t>Not started</t>
        </is>
      </c>
      <c r="T11" s="10" t="n"/>
    </row>
    <row r="12" ht="35.05" customHeight="1" s="7">
      <c r="A12" s="9" t="n">
        <v>13</v>
      </c>
      <c r="B12" s="9" t="n">
        <v>1</v>
      </c>
      <c r="C12" s="10" t="n">
        <v>46318</v>
      </c>
      <c r="D12" s="9" t="inlineStr">
        <is>
          <t>https://wealthscale.ca/vs/</t>
        </is>
      </c>
      <c r="E12" s="9" t="inlineStr">
        <is>
          <t>(none)</t>
        </is>
      </c>
      <c r="F12" s="9" t="inlineStr">
        <is>
          <t>Broker Comparison</t>
        </is>
      </c>
      <c r="G12" s="9" t="inlineStr">
        <is>
          <t>Broker Comparison: Any Two Platforms Side by Side</t>
        </is>
      </c>
      <c r="H12" s="9" t="inlineStr">
        <is>
          <t>Broker Comparison Canada: Any Two Platforms Side by Side</t>
        </is>
      </c>
      <c r="I12" s="9">
        <f>LEN(H12)</f>
        <v/>
      </c>
      <c r="J12" s="9" t="inlineStr">
        <is>
          <t>Broker comparison Canada: every WealthScale versus page with category winners, a 19-row matrix of six brokers and yearly costs at 13 brokers.</t>
        </is>
      </c>
      <c r="K12" s="9">
        <f>LEN(J12)</f>
        <v/>
      </c>
      <c r="L12" s="9" t="inlineStr">
        <is>
          <t>broker comparison canada</t>
        </is>
      </c>
      <c r="M12" s="9" t="inlineStr">
        <is>
          <t>wealthsimple vs questrade, tfsa vs rrsp, platform comparison</t>
        </is>
      </c>
      <c r="N12" s="9" t="inlineStr">
        <is>
          <t>hub</t>
        </is>
      </c>
      <c r="O12" s="9" t="inlineStr">
        <is>
          <t>Yes</t>
        </is>
      </c>
      <c r="P12" s="9" t="inlineStr">
        <is>
          <t>broker-cost</t>
        </is>
      </c>
      <c r="Q12" s="11" t="n">
        <v>4862</v>
      </c>
      <c r="R12" s="9" t="inlineStr">
        <is>
          <t>pages-paste/013-vs.html</t>
        </is>
      </c>
      <c r="S12" s="9" t="inlineStr">
        <is>
          <t>Not started</t>
        </is>
      </c>
      <c r="T12" s="10" t="n"/>
    </row>
    <row r="13" ht="35.05" customHeight="1" s="7">
      <c r="A13" s="9" t="n">
        <v>14</v>
      </c>
      <c r="B13" s="9" t="n">
        <v>1</v>
      </c>
      <c r="C13" s="10" t="n">
        <v>46318</v>
      </c>
      <c r="D13" s="9" t="inlineStr">
        <is>
          <t>https://wealthscale.ca/savings/</t>
        </is>
      </c>
      <c r="E13" s="9" t="inlineStr">
        <is>
          <t>(none)</t>
        </is>
      </c>
      <c r="F13" s="9" t="inlineStr">
        <is>
          <t>Savings</t>
        </is>
      </c>
      <c r="G13" s="9" t="inlineStr">
        <is>
          <t>Best Places to Save Money in Canada: Savings Accounts and GICs</t>
        </is>
      </c>
      <c r="H13" s="9" t="inlineStr">
        <is>
          <t>Best Place to Save Money Canada: Top Savings and GIC Rates</t>
        </is>
      </c>
      <c r="I13" s="9">
        <f>LEN(H13)</f>
        <v/>
      </c>
      <c r="J13" s="9" t="inlineStr">
        <is>
          <t>The best place to save money Canada-wide on October 22, 2026: 2.85% everyday savings with no paid plan, 3.85% 1-year GICs, CDIC rules and USD options.</t>
        </is>
      </c>
      <c r="K13" s="9">
        <f>LEN(J13)</f>
        <v/>
      </c>
      <c r="L13" s="9" t="inlineStr">
        <is>
          <t>best place to save money canada</t>
        </is>
      </c>
      <c r="M13" s="9" t="inlineStr">
        <is>
          <t>high interest savings canada, gic rates canada, where to keep emergency fund</t>
        </is>
      </c>
      <c r="N13" s="9" t="inlineStr">
        <is>
          <t>hub</t>
        </is>
      </c>
      <c r="O13" s="9" t="inlineStr">
        <is>
          <t>Yes</t>
        </is>
      </c>
      <c r="P13" s="9" t="inlineStr">
        <is>
          <t>hisa-earnings, gic-calc, savings-goal</t>
        </is>
      </c>
      <c r="Q13" s="11" t="n">
        <v>4446</v>
      </c>
      <c r="R13" s="9" t="inlineStr">
        <is>
          <t>pages-paste/014-savings.html</t>
        </is>
      </c>
      <c r="S13" s="9" t="inlineStr">
        <is>
          <t>Not started</t>
        </is>
      </c>
      <c r="T13" s="10" t="n"/>
    </row>
    <row r="14" ht="35.05" customHeight="1" s="7">
      <c r="A14" s="9" t="n">
        <v>15</v>
      </c>
      <c r="B14" s="9" t="n">
        <v>1</v>
      </c>
      <c r="C14" s="10" t="n">
        <v>46318</v>
      </c>
      <c r="D14" s="9" t="inlineStr">
        <is>
          <t>https://wealthscale.ca/banking/</t>
        </is>
      </c>
      <c r="E14" s="9" t="inlineStr">
        <is>
          <t>(none)</t>
        </is>
      </c>
      <c r="F14" s="9" t="inlineStr">
        <is>
          <t>Banking</t>
        </is>
      </c>
      <c r="G14" s="9" t="inlineStr">
        <is>
          <t>Bank Accounts in Canada Compared</t>
        </is>
      </c>
      <c r="H14" s="9" t="inlineStr">
        <is>
          <t>Best Bank Account Canada: Chequing, Savings and GICs</t>
        </is>
      </c>
      <c r="I14" s="9">
        <f>LEN(H14)</f>
        <v/>
      </c>
      <c r="J14" s="9" t="inlineStr">
        <is>
          <t>Best bank account Canada guide: compare 20 chequing accounts, savings rates and GICs from online banks, fintechs and big banks. Top chequing score: 4.6 / 5.</t>
        </is>
      </c>
      <c r="K14" s="9">
        <f>LEN(J14)</f>
        <v/>
      </c>
      <c r="L14" s="9" t="inlineStr">
        <is>
          <t>best bank account canada</t>
        </is>
      </c>
      <c r="M14" s="9" t="inlineStr">
        <is>
          <t>best chequing account canada, no fee bank account, online banks canada</t>
        </is>
      </c>
      <c r="N14" s="9" t="inlineStr">
        <is>
          <t>hub</t>
        </is>
      </c>
      <c r="O14" s="9" t="inlineStr">
        <is>
          <t>Yes</t>
        </is>
      </c>
      <c r="P14" s="9" t="inlineStr">
        <is>
          <t>chequing-cost</t>
        </is>
      </c>
      <c r="Q14" s="11" t="n">
        <v>4220</v>
      </c>
      <c r="R14" s="9" t="inlineStr">
        <is>
          <t>pages-paste/015-banking.html</t>
        </is>
      </c>
      <c r="S14" s="9" t="inlineStr">
        <is>
          <t>Not started</t>
        </is>
      </c>
      <c r="T14" s="10" t="n"/>
    </row>
    <row r="15" ht="35.05" customHeight="1" s="7">
      <c r="A15" s="9" t="n">
        <v>16</v>
      </c>
      <c r="B15" s="9" t="n">
        <v>1</v>
      </c>
      <c r="C15" s="10" t="n">
        <v>46318</v>
      </c>
      <c r="D15" s="9" t="inlineStr">
        <is>
          <t>https://wealthscale.ca/calculators/</t>
        </is>
      </c>
      <c r="E15" s="9" t="inlineStr">
        <is>
          <t>(none)</t>
        </is>
      </c>
      <c r="F15" s="9" t="inlineStr">
        <is>
          <t>Calculators</t>
        </is>
      </c>
      <c r="G15" s="9" t="inlineStr">
        <is>
          <t>Investing, Savings and Tax Calculators</t>
        </is>
      </c>
      <c r="H15" s="9" t="inlineStr">
        <is>
          <t>Investment Calculators Canada: TFSA, RRSP and Tax Tools</t>
        </is>
      </c>
      <c r="I15" s="9">
        <f>LEN(H15)</f>
        <v/>
      </c>
      <c r="J15" s="9" t="inlineStr">
        <is>
          <t>Investment calculators Canada: free TFSA, RRSP, FHSA, RESP, RRIF, income tax and compound interest tools using 2026 figures, like the $7,000 TFSA limit.</t>
        </is>
      </c>
      <c r="K15" s="9">
        <f>LEN(J15)</f>
        <v/>
      </c>
      <c r="L15" s="9" t="inlineStr">
        <is>
          <t>investment calculators canada</t>
        </is>
      </c>
      <c r="M15" s="9" t="inlineStr">
        <is>
          <t>tfsa calculator, rrsp calculator, tax calculator canada 2026, compound interest calculator canada</t>
        </is>
      </c>
      <c r="N15" s="9" t="inlineStr">
        <is>
          <t>hub</t>
        </is>
      </c>
      <c r="O15" s="9" t="inlineStr">
        <is>
          <t>Yes</t>
        </is>
      </c>
      <c r="P15" s="9" t="inlineStr">
        <is>
          <t>income-tax</t>
        </is>
      </c>
      <c r="Q15" s="11" t="n">
        <v>5199</v>
      </c>
      <c r="R15" s="9" t="inlineStr">
        <is>
          <t>pages-paste/016-calculators.html</t>
        </is>
      </c>
      <c r="S15" s="9" t="inlineStr">
        <is>
          <t>Not started</t>
        </is>
      </c>
      <c r="T15" s="10" t="n"/>
    </row>
    <row r="16" ht="35.05" customHeight="1" s="7">
      <c r="A16" s="9" t="n">
        <v>17</v>
      </c>
      <c r="B16" s="9" t="n">
        <v>1</v>
      </c>
      <c r="C16" s="10" t="n">
        <v>46318</v>
      </c>
      <c r="D16" s="9" t="inlineStr">
        <is>
          <t>https://wealthscale.ca/benefits/</t>
        </is>
      </c>
      <c r="E16" s="9" t="inlineStr">
        <is>
          <t>(none)</t>
        </is>
      </c>
      <c r="F16" s="9" t="inlineStr">
        <is>
          <t>CRA Benefit Payment Dates</t>
        </is>
      </c>
      <c r="G16" s="9" t="inlineStr">
        <is>
          <t>CRA Benefit Payment Dates</t>
        </is>
      </c>
      <c r="H16" s="9" t="inlineStr">
        <is>
          <t>CRA Payment Dates 2026: CPP, OAS, CGEB, CCB and OTB Calendar</t>
        </is>
      </c>
      <c r="I16" s="9">
        <f>LEN(H16)</f>
        <v/>
      </c>
      <c r="J16" s="9" t="inlineStr">
        <is>
          <t>CRA payment dates 2026 for CPP, OAS, the CGEB, CCB, OTB and more. Next up: CPP and OAS on October 28, 2026, OTB on November 10 and CCB on November 20.</t>
        </is>
      </c>
      <c r="K16" s="9">
        <f>LEN(J16)</f>
        <v/>
      </c>
      <c r="L16" s="9" t="inlineStr">
        <is>
          <t>cra payment dates 2026</t>
        </is>
      </c>
      <c r="M16" s="9" t="inlineStr">
        <is>
          <t>cra benefit payment dates, cpp payment dates, gst payment dates, canada groceries and essentials benefit, ccb payment dates, ontario trillium benefit payment dates</t>
        </is>
      </c>
      <c r="N16" s="9" t="inlineStr">
        <is>
          <t>hub</t>
        </is>
      </c>
      <c r="O16" s="9" t="inlineStr">
        <is>
          <t>No</t>
        </is>
      </c>
      <c r="P16" s="9" t="inlineStr">
        <is>
          <t>benefit-dates, gst-credit, oas-clawback</t>
        </is>
      </c>
      <c r="Q16" s="11" t="n">
        <v>3862</v>
      </c>
      <c r="R16" s="9" t="inlineStr">
        <is>
          <t>pages-paste/017-benefits.html</t>
        </is>
      </c>
      <c r="S16" s="9" t="inlineStr">
        <is>
          <t>Not started</t>
        </is>
      </c>
      <c r="T16" s="10" t="n"/>
    </row>
    <row r="17" ht="35.05" customHeight="1" s="7">
      <c r="A17" s="9" t="n">
        <v>18</v>
      </c>
      <c r="B17" s="9" t="n">
        <v>1</v>
      </c>
      <c r="C17" s="10" t="n">
        <v>46318</v>
      </c>
      <c r="D17" s="9" t="inlineStr">
        <is>
          <t>https://wealthscale.ca/markets/</t>
        </is>
      </c>
      <c r="E17" s="9" t="inlineStr">
        <is>
          <t>(none)</t>
        </is>
      </c>
      <c r="F17" s="9" t="inlineStr">
        <is>
          <t>International Investing</t>
        </is>
      </c>
      <c r="G17" s="9" t="inlineStr">
        <is>
          <t>International Investing From Canada: World Markets</t>
        </is>
      </c>
      <c r="H17" s="9" t="inlineStr">
        <is>
          <t>International Investing Canada: US and World Markets Guide</t>
        </is>
      </c>
      <c r="I17" s="9">
        <f>LEN(H17)</f>
        <v/>
      </c>
      <c r="J17" s="9" t="inlineStr">
        <is>
          <t>International investing Canada guide: how to buy US and world stocks, USD accounts, 15% US withholding by account, and FX fees from US$2 on $10,000.</t>
        </is>
      </c>
      <c r="K17" s="9">
        <f>LEN(J17)</f>
        <v/>
      </c>
      <c r="L17" s="9" t="inlineStr">
        <is>
          <t>international investing canada</t>
        </is>
      </c>
      <c r="M17" s="9" t="inlineStr">
        <is>
          <t>investing in us stocks from canada, global investing canada, foreign stocks canada</t>
        </is>
      </c>
      <c r="N17" s="9" t="inlineStr">
        <is>
          <t>hub</t>
        </is>
      </c>
      <c r="O17" s="9" t="inlineStr">
        <is>
          <t>Yes</t>
        </is>
      </c>
      <c r="P17" s="9" t="inlineStr">
        <is>
          <t>fx-cost, us-withholding</t>
        </is>
      </c>
      <c r="Q17" s="11" t="n">
        <v>4484</v>
      </c>
      <c r="R17" s="9" t="inlineStr">
        <is>
          <t>pages-paste/018-markets.html</t>
        </is>
      </c>
      <c r="S17" s="9" t="inlineStr">
        <is>
          <t>Not started</t>
        </is>
      </c>
      <c r="T17" s="10" t="n"/>
    </row>
    <row r="18" ht="35.05" customHeight="1" s="7">
      <c r="A18" s="9" t="n">
        <v>19</v>
      </c>
      <c r="B18" s="9" t="n">
        <v>1</v>
      </c>
      <c r="C18" s="10" t="n">
        <v>46318</v>
      </c>
      <c r="D18" s="9" t="inlineStr">
        <is>
          <t>https://wealthscale.ca/learn/</t>
        </is>
      </c>
      <c r="E18" s="9" t="inlineStr">
        <is>
          <t>(none)</t>
        </is>
      </c>
      <c r="F18" s="9" t="inlineStr">
        <is>
          <t>Learn to Invest</t>
        </is>
      </c>
      <c r="G18" s="9" t="inlineStr">
        <is>
          <t>Investing for Beginners in Canada</t>
        </is>
      </c>
      <c r="H18" s="9" t="inlineStr">
        <is>
          <t>Investing for Beginners Canada: 7 Steps to Get Started</t>
        </is>
      </c>
      <c r="I18" s="9">
        <f>LEN(H18)</f>
        <v/>
      </c>
      <c r="J18" s="9" t="inlineStr">
        <is>
          <t>Investing for beginners Canada: seven steps from emergency fund to first investment, plus 30 key terms. The 2026 TFSA limit is $7,000; RRSP limit $33,810.</t>
        </is>
      </c>
      <c r="K18" s="9">
        <f>LEN(J18)</f>
        <v/>
      </c>
      <c r="L18" s="9" t="inlineStr">
        <is>
          <t>investing for beginners canada</t>
        </is>
      </c>
      <c r="M18" s="9" t="inlineStr">
        <is>
          <t>how to start investing canada, beginner investing, investing basics canada</t>
        </is>
      </c>
      <c r="N18" s="9" t="inlineStr">
        <is>
          <t>hub</t>
        </is>
      </c>
      <c r="O18" s="9" t="inlineStr">
        <is>
          <t>Yes</t>
        </is>
      </c>
      <c r="P18" s="9" t="inlineStr">
        <is>
          <t>compound-interest, account-chooser</t>
        </is>
      </c>
      <c r="Q18" s="11" t="n">
        <v>4791</v>
      </c>
      <c r="R18" s="9" t="inlineStr">
        <is>
          <t>pages-paste/019-learn.html</t>
        </is>
      </c>
      <c r="S18" s="9" t="inlineStr">
        <is>
          <t>Not started</t>
        </is>
      </c>
      <c r="T18" s="10" t="n"/>
    </row>
    <row r="19" ht="23.85" customHeight="1" s="7">
      <c r="A19" s="9" t="n">
        <v>20</v>
      </c>
      <c r="B19" s="9" t="n">
        <v>1</v>
      </c>
      <c r="C19" s="10" t="n">
        <v>46318</v>
      </c>
      <c r="D19" s="9" t="inlineStr">
        <is>
          <t>https://wealthscale.ca/calculators/tfsa-calculator/</t>
        </is>
      </c>
      <c r="E19" s="9" t="inlineStr">
        <is>
          <t>/calculators/</t>
        </is>
      </c>
      <c r="F19" s="9" t="inlineStr">
        <is>
          <t>TFSA Calculator</t>
        </is>
      </c>
      <c r="G19" s="9" t="inlineStr">
        <is>
          <t>TFSA Contribution Room Calculator</t>
        </is>
      </c>
      <c r="H19" s="9" t="inlineStr">
        <is>
          <t>TFSA Contribution Room Calculator: How Much Room You Have</t>
        </is>
      </c>
      <c r="I19" s="9">
        <f>LEN(H19)</f>
        <v/>
      </c>
      <c r="J19" s="9" t="inlineStr">
        <is>
          <t>Our TFSA contribution room calculator adds every limit since 2009, up to $109,000, using your birth year, arrival year, deposits and withdrawals.</t>
        </is>
      </c>
      <c r="K19" s="9">
        <f>LEN(J19)</f>
        <v/>
      </c>
      <c r="L19" s="9" t="inlineStr">
        <is>
          <t>tfsa contribution room calculator</t>
        </is>
      </c>
      <c r="M19" s="9" t="inlineStr">
        <is>
          <t>tfsa calculator, how much tfsa room do i have, tfsa room by age, tfsa limit calculator</t>
        </is>
      </c>
      <c r="N19" s="9" t="inlineStr">
        <is>
          <t>calculator</t>
        </is>
      </c>
      <c r="O19" s="9" t="inlineStr">
        <is>
          <t>Yes</t>
        </is>
      </c>
      <c r="P19" s="9" t="inlineStr">
        <is>
          <t>tfsa-room, tfsa-overcontribution, compound-interest</t>
        </is>
      </c>
      <c r="Q19" s="11" t="n">
        <v>3971</v>
      </c>
      <c r="R19" s="9" t="inlineStr">
        <is>
          <t>pages-paste/020-calculators-tfsa-calculator.html</t>
        </is>
      </c>
      <c r="S19" s="9" t="inlineStr">
        <is>
          <t>Not started</t>
        </is>
      </c>
      <c r="T19" s="10" t="n"/>
    </row>
    <row r="20" ht="23.85" customHeight="1" s="7">
      <c r="A20" s="9" t="n">
        <v>28</v>
      </c>
      <c r="B20" s="9" t="n">
        <v>1</v>
      </c>
      <c r="C20" s="10" t="n">
        <v>46318</v>
      </c>
      <c r="D20" s="9" t="inlineStr">
        <is>
          <t>https://wealthscale.ca/accounts/tfsa/</t>
        </is>
      </c>
      <c r="E20" s="9" t="inlineStr">
        <is>
          <t>/accounts/</t>
        </is>
      </c>
      <c r="F20" s="9" t="inlineStr">
        <is>
          <t>TFSA Guide</t>
        </is>
      </c>
      <c r="G20" s="9" t="inlineStr">
        <is>
          <t>TFSA Guide: How a Tax-Free Savings Account Works</t>
        </is>
      </c>
      <c r="H20" s="9" t="inlineStr">
        <is>
          <t>TFSA Guide: How a Tax-Free Savings Account Works in Canada</t>
        </is>
      </c>
      <c r="I20" s="9">
        <f>LEN(H20)</f>
        <v/>
      </c>
      <c r="J20" s="9" t="inlineStr">
        <is>
          <t>A TFSA lets Canadian residents 18 and older grow money and withdraw it tax-free. The 2026 limit is $7,000 and total room since 2009 is $109,000.</t>
        </is>
      </c>
      <c r="K20" s="9">
        <f>LEN(J20)</f>
        <v/>
      </c>
      <c r="L20" s="9" t="inlineStr">
        <is>
          <t>tfsa</t>
        </is>
      </c>
      <c r="M20" s="9" t="inlineStr">
        <is>
          <t>tax-free savings account, tfsa rules, tfsa limit 2026, tfsa withdrawal, what can you hold in a tfsa</t>
        </is>
      </c>
      <c r="N20" s="9" t="inlineStr">
        <is>
          <t>account-guide</t>
        </is>
      </c>
      <c r="O20" s="9" t="inlineStr">
        <is>
          <t>Yes</t>
        </is>
      </c>
      <c r="P20" s="9" t="inlineStr">
        <is>
          <t>tfsa-room, tfsa-overcontribution</t>
        </is>
      </c>
      <c r="Q20" s="11" t="n">
        <v>7278</v>
      </c>
      <c r="R20" s="9" t="inlineStr">
        <is>
          <t>pages-paste/028-accounts-tfsa.html</t>
        </is>
      </c>
      <c r="S20" s="9" t="inlineStr">
        <is>
          <t>Not started</t>
        </is>
      </c>
      <c r="T20" s="10" t="n"/>
    </row>
    <row r="21" ht="35.05" customHeight="1" s="7">
      <c r="A21" s="9" t="n">
        <v>101</v>
      </c>
      <c r="B21" s="9" t="n">
        <v>1</v>
      </c>
      <c r="C21" s="10" t="n">
        <v>46318</v>
      </c>
      <c r="D21" s="9" t="inlineStr">
        <is>
          <t>https://wealthscale.ca/about/neha-gupta/</t>
        </is>
      </c>
      <c r="E21" s="9" t="inlineStr">
        <is>
          <t>/about/</t>
        </is>
      </c>
      <c r="F21" s="9" t="inlineStr">
        <is>
          <t>Neha Gupta, CFA</t>
        </is>
      </c>
      <c r="G21" s="9" t="inlineStr">
        <is>
          <t>Neha Gupta, CFA</t>
        </is>
      </c>
      <c r="H21" s="9" t="inlineStr">
        <is>
          <t>Neha Gupta, CFA: Financial Reviewer</t>
        </is>
      </c>
      <c r="I21" s="9">
        <f>LEN(H21)</f>
        <v/>
      </c>
      <c r="J21" s="9" t="inlineStr">
        <is>
          <t>Neha Gupta, CFA reviews WealthScale's investing pages. CFA charterholder in Winnipeg, in financial markets since 2005, with 2,600+ published articles.</t>
        </is>
      </c>
      <c r="K21" s="9">
        <f>LEN(J21)</f>
        <v/>
      </c>
      <c r="L21" s="9" t="inlineStr">
        <is>
          <t>neha gupta cfa</t>
        </is>
      </c>
      <c r="M21" s="9" t="inlineStr">
        <is>
          <t>neha gupta cfa winnipeg, wealthscale financial reviewer, neha gupta whiteland real estate</t>
        </is>
      </c>
      <c r="N21" s="9" t="inlineStr">
        <is>
          <t>profile</t>
        </is>
      </c>
      <c r="O21" s="9" t="inlineStr">
        <is>
          <t>No</t>
        </is>
      </c>
      <c r="P21" s="9" t="n"/>
      <c r="Q21" s="11" t="n">
        <v>1520</v>
      </c>
      <c r="R21" s="9" t="inlineStr">
        <is>
          <t>pages-paste/101-about-neha-gupta.html</t>
        </is>
      </c>
      <c r="S21" s="9" t="inlineStr">
        <is>
          <t>Not started</t>
        </is>
      </c>
      <c r="T21" s="10" t="n"/>
    </row>
    <row r="22" ht="35.05" customHeight="1" s="7">
      <c r="A22" s="9" t="n">
        <v>21</v>
      </c>
      <c r="B22" s="9" t="n">
        <v>2</v>
      </c>
      <c r="C22" s="10" t="n">
        <v>46319</v>
      </c>
      <c r="D22" s="9" t="inlineStr">
        <is>
          <t>https://wealthscale.ca/calculators/rrsp-calculator/</t>
        </is>
      </c>
      <c r="E22" s="9" t="inlineStr">
        <is>
          <t>/calculators/</t>
        </is>
      </c>
      <c r="F22" s="9" t="inlineStr">
        <is>
          <t>RRSP Calculator</t>
        </is>
      </c>
      <c r="G22" s="9" t="inlineStr">
        <is>
          <t>RRSP Tax Refund Calculator</t>
        </is>
      </c>
      <c r="H22" s="9" t="inlineStr">
        <is>
          <t>RRSP Calculator: Tax Refund and Savings by Province</t>
        </is>
      </c>
      <c r="I22" s="9">
        <f>LEN(H22)</f>
        <v/>
      </c>
      <c r="J22" s="9" t="inlineStr">
        <is>
          <t>RRSP calculator for 2026: see the tax a contribution saves in your province. A $5,000 RRSP deduction saves $1,632.50 at $75,000 of income in Ontario.</t>
        </is>
      </c>
      <c r="K22" s="9">
        <f>LEN(J22)</f>
        <v/>
      </c>
      <c r="L22" s="9" t="inlineStr">
        <is>
          <t>rrsp calculator</t>
        </is>
      </c>
      <c r="M22" s="9" t="inlineStr">
        <is>
          <t>rrsp tax refund calculator, rrsp tax savings calculator, how much tax will i save rrsp</t>
        </is>
      </c>
      <c r="N22" s="9" t="inlineStr">
        <is>
          <t>calculator</t>
        </is>
      </c>
      <c r="O22" s="9" t="inlineStr">
        <is>
          <t>Yes</t>
        </is>
      </c>
      <c r="P22" s="9" t="inlineStr">
        <is>
          <t>rrsp-refund, rrsp-room, rrsp-withdrawal</t>
        </is>
      </c>
      <c r="Q22" s="11" t="n">
        <v>4261</v>
      </c>
      <c r="R22" s="9" t="inlineStr">
        <is>
          <t>pages-paste/021-calculators-rrsp-calculator.html</t>
        </is>
      </c>
      <c r="S22" s="9" t="inlineStr">
        <is>
          <t>Not started</t>
        </is>
      </c>
      <c r="T22" s="10" t="n"/>
    </row>
    <row r="23" ht="35.05" customHeight="1" s="7">
      <c r="A23" s="9" t="n">
        <v>22</v>
      </c>
      <c r="B23" s="9" t="n">
        <v>2</v>
      </c>
      <c r="C23" s="10" t="n">
        <v>46319</v>
      </c>
      <c r="D23" s="9" t="inlineStr">
        <is>
          <t>https://wealthscale.ca/calculators/fhsa-calculator/</t>
        </is>
      </c>
      <c r="E23" s="9" t="inlineStr">
        <is>
          <t>/calculators/</t>
        </is>
      </c>
      <c r="F23" s="9" t="inlineStr">
        <is>
          <t>FHSA Calculator</t>
        </is>
      </c>
      <c r="G23" s="9" t="inlineStr">
        <is>
          <t>FHSA Calculator</t>
        </is>
      </c>
      <c r="H23" s="9" t="inlineStr">
        <is>
          <t>FHSA Calculator: Room, Carry-Forward and Tax Savings</t>
        </is>
      </c>
      <c r="I23" s="9">
        <f>LEN(H23)</f>
        <v/>
      </c>
      <c r="J23" s="9" t="inlineStr">
        <is>
          <t>FHSA calculator: find your 2026 room, carry-forward and lifetime limit of $40,000, see what an $8,000 deduction saves in your province and plan a home buy.</t>
        </is>
      </c>
      <c r="K23" s="9">
        <f>LEN(J23)</f>
        <v/>
      </c>
      <c r="L23" s="9" t="inlineStr">
        <is>
          <t>fhsa calculator</t>
        </is>
      </c>
      <c r="M23" s="9" t="inlineStr">
        <is>
          <t>fhsa contribution calculator, fhsa carry forward, fhsa room calculator</t>
        </is>
      </c>
      <c r="N23" s="9" t="inlineStr">
        <is>
          <t>calculator</t>
        </is>
      </c>
      <c r="O23" s="9" t="inlineStr">
        <is>
          <t>Yes</t>
        </is>
      </c>
      <c r="P23" s="9" t="inlineStr">
        <is>
          <t>fhsa-room, fhsa-eligibility, first-home</t>
        </is>
      </c>
      <c r="Q23" s="11" t="n">
        <v>4184</v>
      </c>
      <c r="R23" s="9" t="inlineStr">
        <is>
          <t>pages-paste/022-calculators-fhsa-calculator.html</t>
        </is>
      </c>
      <c r="S23" s="9" t="inlineStr">
        <is>
          <t>Not started</t>
        </is>
      </c>
      <c r="T23" s="10" t="n"/>
    </row>
    <row r="24" ht="35.05" customHeight="1" s="7">
      <c r="A24" s="9" t="n">
        <v>23</v>
      </c>
      <c r="B24" s="9" t="n">
        <v>2</v>
      </c>
      <c r="C24" s="10" t="n">
        <v>46319</v>
      </c>
      <c r="D24" s="9" t="inlineStr">
        <is>
          <t>https://wealthscale.ca/calculators/resp-calculator/</t>
        </is>
      </c>
      <c r="E24" s="9" t="inlineStr">
        <is>
          <t>/calculators/</t>
        </is>
      </c>
      <c r="F24" s="9" t="inlineStr">
        <is>
          <t>RESP Grant Calculator</t>
        </is>
      </c>
      <c r="G24" s="9" t="inlineStr">
        <is>
          <t>RESP Grant Calculator</t>
        </is>
      </c>
      <c r="H24" s="9" t="inlineStr">
        <is>
          <t>RESP Calculator: CESG, Learning Bond and Provincial Grants</t>
        </is>
      </c>
      <c r="I24" s="9">
        <f>LEN(H24)</f>
        <v/>
      </c>
      <c r="J24" s="9" t="inlineStr">
        <is>
          <t>RESP calculator for 2026: estimate the 20% CESG, additional CESG, Canada Learning Bond and B.C. and Quebec grants, and see what it takes to collect $7,200.</t>
        </is>
      </c>
      <c r="K24" s="9">
        <f>LEN(J24)</f>
        <v/>
      </c>
      <c r="L24" s="9" t="inlineStr">
        <is>
          <t>resp calculator</t>
        </is>
      </c>
      <c r="M24" s="9" t="inlineStr">
        <is>
          <t>resp grant calculator, cesg calculator, resp savings calculator</t>
        </is>
      </c>
      <c r="N24" s="9" t="inlineStr">
        <is>
          <t>calculator</t>
        </is>
      </c>
      <c r="O24" s="9" t="inlineStr">
        <is>
          <t>Yes</t>
        </is>
      </c>
      <c r="P24" s="9" t="inlineStr">
        <is>
          <t>resp-grant</t>
        </is>
      </c>
      <c r="Q24" s="11" t="n">
        <v>4223</v>
      </c>
      <c r="R24" s="9" t="inlineStr">
        <is>
          <t>pages-paste/023-calculators-resp-calculator.html</t>
        </is>
      </c>
      <c r="S24" s="9" t="inlineStr">
        <is>
          <t>Not started</t>
        </is>
      </c>
      <c r="T24" s="10" t="n"/>
    </row>
    <row r="25" ht="23.85" customHeight="1" s="7">
      <c r="A25" s="9" t="n">
        <v>24</v>
      </c>
      <c r="B25" s="9" t="n">
        <v>2</v>
      </c>
      <c r="C25" s="10" t="n">
        <v>46319</v>
      </c>
      <c r="D25" s="9" t="inlineStr">
        <is>
          <t>https://wealthscale.ca/calculators/rrif-calculator/</t>
        </is>
      </c>
      <c r="E25" s="9" t="inlineStr">
        <is>
          <t>/calculators/</t>
        </is>
      </c>
      <c r="F25" s="9" t="inlineStr">
        <is>
          <t>RRIF Minimum Withdrawal Calculator</t>
        </is>
      </c>
      <c r="G25" s="9" t="inlineStr">
        <is>
          <t>RRIF Minimum Withdrawal Calculator</t>
        </is>
      </c>
      <c r="H25" s="9" t="inlineStr">
        <is>
          <t>RRIF Calculator: Minimum Withdrawal by Age and Projection</t>
        </is>
      </c>
      <c r="I25" s="9">
        <f>LEN(H25)</f>
        <v/>
      </c>
      <c r="J25" s="9" t="inlineStr">
        <is>
          <t>RRIF calculator for 2026: find your minimum withdrawal from the full factor table, from 4.00% at 65 to 20% at 95, plus withholding and a projection.</t>
        </is>
      </c>
      <c r="K25" s="9">
        <f>LEN(J25)</f>
        <v/>
      </c>
      <c r="L25" s="9" t="inlineStr">
        <is>
          <t>rrif calculator</t>
        </is>
      </c>
      <c r="M25" s="9" t="inlineStr">
        <is>
          <t>rrif withdrawal calculator, rrif minimum calculator, rrif payment calculator</t>
        </is>
      </c>
      <c r="N25" s="9" t="inlineStr">
        <is>
          <t>calculator</t>
        </is>
      </c>
      <c r="O25" s="9" t="inlineStr">
        <is>
          <t>Yes</t>
        </is>
      </c>
      <c r="P25" s="9" t="inlineStr">
        <is>
          <t>rrif-minimum</t>
        </is>
      </c>
      <c r="Q25" s="11" t="n">
        <v>4204</v>
      </c>
      <c r="R25" s="9" t="inlineStr">
        <is>
          <t>pages-paste/024-calculators-rrif-calculator.html</t>
        </is>
      </c>
      <c r="S25" s="9" t="inlineStr">
        <is>
          <t>Not started</t>
        </is>
      </c>
      <c r="T25" s="10" t="n"/>
    </row>
    <row r="26" ht="35.05" customHeight="1" s="7">
      <c r="A26" s="9" t="n">
        <v>25</v>
      </c>
      <c r="B26" s="9" t="n">
        <v>2</v>
      </c>
      <c r="C26" s="10" t="n">
        <v>46319</v>
      </c>
      <c r="D26" s="9" t="inlineStr">
        <is>
          <t>https://wealthscale.ca/calculators/compound-interest-calculator/</t>
        </is>
      </c>
      <c r="E26" s="9" t="inlineStr">
        <is>
          <t>/calculators/</t>
        </is>
      </c>
      <c r="F26" s="9" t="inlineStr">
        <is>
          <t>Compound Interest Calculator</t>
        </is>
      </c>
      <c r="G26" s="9" t="inlineStr">
        <is>
          <t>Compound Interest Calculator</t>
        </is>
      </c>
      <c r="H26" s="9" t="inlineStr">
        <is>
          <t>Compound Interest Calculator Canada With Monthly Savings</t>
        </is>
      </c>
      <c r="I26" s="9">
        <f>LEN(H26)</f>
        <v/>
      </c>
      <c r="J26" s="9" t="inlineStr">
        <is>
          <t>Compound interest calculator Canada: see how $10,000 at 5% grows to $16,470.09 in 10 years compounded monthly, with monthly savings, fees and tax.</t>
        </is>
      </c>
      <c r="K26" s="9">
        <f>LEN(J26)</f>
        <v/>
      </c>
      <c r="L26" s="9" t="inlineStr">
        <is>
          <t>compound interest calculator canada</t>
        </is>
      </c>
      <c r="M26" s="9" t="inlineStr">
        <is>
          <t>compound interest canada, investment growth calculator, savings growth calculator</t>
        </is>
      </c>
      <c r="N26" s="9" t="inlineStr">
        <is>
          <t>calculator</t>
        </is>
      </c>
      <c r="O26" s="9" t="inlineStr">
        <is>
          <t>Yes</t>
        </is>
      </c>
      <c r="P26" s="9" t="inlineStr">
        <is>
          <t>compound-interest, savings-goal, fee-drag</t>
        </is>
      </c>
      <c r="Q26" s="11" t="n">
        <v>5490</v>
      </c>
      <c r="R26" s="9" t="inlineStr">
        <is>
          <t>pages-paste/025-calculators-compound-interest-calculator.html</t>
        </is>
      </c>
      <c r="S26" s="9" t="inlineStr">
        <is>
          <t>Not started</t>
        </is>
      </c>
      <c r="T26" s="10" t="n"/>
    </row>
    <row r="27" ht="35.05" customHeight="1" s="7">
      <c r="A27" s="9" t="n">
        <v>26</v>
      </c>
      <c r="B27" s="9" t="n">
        <v>2</v>
      </c>
      <c r="C27" s="10" t="n">
        <v>46319</v>
      </c>
      <c r="D27" s="9" t="inlineStr">
        <is>
          <t>https://wealthscale.ca/calculators/capital-gains-tax-calculator/</t>
        </is>
      </c>
      <c r="E27" s="9" t="inlineStr">
        <is>
          <t>/calculators/</t>
        </is>
      </c>
      <c r="F27" s="9" t="inlineStr">
        <is>
          <t>Capital Gains Tax Calculator</t>
        </is>
      </c>
      <c r="G27" s="9" t="inlineStr">
        <is>
          <t>Capital Gains Tax Calculator</t>
        </is>
      </c>
      <c r="H27" s="9" t="inlineStr">
        <is>
          <t>Capital Gains Tax Calculator Canada: Your Tax by Province</t>
        </is>
      </c>
      <c r="I27" s="9">
        <f>LEN(H27)</f>
        <v/>
      </c>
      <c r="J27" s="9" t="inlineStr">
        <is>
          <t>Capital gains tax calculator Canada: half of a gain is taxable in 2026. See the tax on a $10,000 gain in each province, plus ACB, loss and reporting rules.</t>
        </is>
      </c>
      <c r="K27" s="9">
        <f>LEN(J27)</f>
        <v/>
      </c>
      <c r="L27" s="9" t="inlineStr">
        <is>
          <t>capital gains tax calculator canada</t>
        </is>
      </c>
      <c r="M27" s="9" t="inlineStr">
        <is>
          <t>capital gains tax canada 2026, capital gains inclusion rate, how is capital gains taxed in canada</t>
        </is>
      </c>
      <c r="N27" s="9" t="inlineStr">
        <is>
          <t>calculator</t>
        </is>
      </c>
      <c r="O27" s="9" t="inlineStr">
        <is>
          <t>No</t>
        </is>
      </c>
      <c r="P27" s="9" t="inlineStr">
        <is>
          <t>capital-gains, dividend-tax, income-tax</t>
        </is>
      </c>
      <c r="Q27" s="11" t="n">
        <v>4587</v>
      </c>
      <c r="R27" s="9" t="inlineStr">
        <is>
          <t>pages-paste/026-calculators-capital-gains-tax-calculator.html</t>
        </is>
      </c>
      <c r="S27" s="9" t="inlineStr">
        <is>
          <t>Not started</t>
        </is>
      </c>
      <c r="T27" s="10" t="n"/>
    </row>
    <row r="28" ht="35.05" customHeight="1" s="7">
      <c r="A28" s="9" t="n">
        <v>27</v>
      </c>
      <c r="B28" s="9" t="n">
        <v>2</v>
      </c>
      <c r="C28" s="10" t="n">
        <v>46319</v>
      </c>
      <c r="D28" s="9" t="inlineStr">
        <is>
          <t>https://wealthscale.ca/calculators/currency-conversion-calculator/</t>
        </is>
      </c>
      <c r="E28" s="9" t="inlineStr">
        <is>
          <t>/calculators/</t>
        </is>
      </c>
      <c r="F28" s="9" t="inlineStr">
        <is>
          <t>Currency Conversion Fee Calculator</t>
        </is>
      </c>
      <c r="G28" s="9" t="inlineStr">
        <is>
          <t>Brokerage Currency Conversion Fee Calculator</t>
        </is>
      </c>
      <c r="H28" s="9" t="inlineStr">
        <is>
          <t>Currency Conversion Fee Calculator: Broker FX Costs Compared</t>
        </is>
      </c>
      <c r="I28" s="9">
        <f>LEN(H28)</f>
        <v/>
      </c>
      <c r="J28" s="9" t="inlineStr">
        <is>
          <t>Currency conversion fee calculator for Canadian brokers: converting $10,000 costs US$2 at Interactive Brokers and $150 at a 1.5% broker. Compare all 13.</t>
        </is>
      </c>
      <c r="K28" s="9">
        <f>LEN(J28)</f>
        <v/>
      </c>
      <c r="L28" s="9" t="inlineStr">
        <is>
          <t>currency conversion fee calculator</t>
        </is>
      </c>
      <c r="M28" s="9" t="inlineStr">
        <is>
          <t>broker fx fees canada, usd conversion fee, cad to usd broker fee</t>
        </is>
      </c>
      <c r="N28" s="9" t="inlineStr">
        <is>
          <t>calculator</t>
        </is>
      </c>
      <c r="O28" s="9" t="inlineStr">
        <is>
          <t>Yes</t>
        </is>
      </c>
      <c r="P28" s="9" t="inlineStr">
        <is>
          <t>fx-cost, norberts-gambit</t>
        </is>
      </c>
      <c r="Q28" s="11" t="n">
        <v>4496</v>
      </c>
      <c r="R28" s="9" t="inlineStr">
        <is>
          <t>pages-paste/027-calculators-currency-conversion-calculator.html</t>
        </is>
      </c>
      <c r="S28" s="9" t="inlineStr">
        <is>
          <t>Not started</t>
        </is>
      </c>
      <c r="T28" s="10" t="n"/>
    </row>
    <row r="29" ht="23.85" customHeight="1" s="7">
      <c r="A29" s="9" t="n">
        <v>29</v>
      </c>
      <c r="B29" s="9" t="n">
        <v>2</v>
      </c>
      <c r="C29" s="10" t="n">
        <v>46319</v>
      </c>
      <c r="D29" s="9" t="inlineStr">
        <is>
          <t>https://wealthscale.ca/accounts/tfsa-contribution-limit/</t>
        </is>
      </c>
      <c r="E29" s="9" t="inlineStr">
        <is>
          <t>/accounts/</t>
        </is>
      </c>
      <c r="F29" s="9" t="inlineStr">
        <is>
          <t>TFSA Contribution Limit</t>
        </is>
      </c>
      <c r="G29" s="9" t="inlineStr">
        <is>
          <t>TFSA Contribution Limit and Room by Year</t>
        </is>
      </c>
      <c r="H29" s="9" t="inlineStr">
        <is>
          <t>TFSA Limit 2026: Contribution Limit and Room by Year</t>
        </is>
      </c>
      <c r="I29" s="9">
        <f>LEN(H29)</f>
        <v/>
      </c>
      <c r="J29" s="9" t="inlineStr">
        <is>
          <t>The TFSA limit 2026 is $7,000 and total room since 2009 is $109,000. See every annual limit, room by birth year and the status of the 2027 limit.</t>
        </is>
      </c>
      <c r="K29" s="9">
        <f>LEN(J29)</f>
        <v/>
      </c>
      <c r="L29" s="9" t="inlineStr">
        <is>
          <t>tfsa limit 2026</t>
        </is>
      </c>
      <c r="M29" s="9" t="inlineStr">
        <is>
          <t>tfsa contribution limit, tfsa limit by year, cumulative tfsa limit 2026, tfsa limit 2027</t>
        </is>
      </c>
      <c r="N29" s="9" t="inlineStr">
        <is>
          <t>account-guide</t>
        </is>
      </c>
      <c r="O29" s="9" t="inlineStr">
        <is>
          <t>Yes</t>
        </is>
      </c>
      <c r="P29" s="9" t="inlineStr">
        <is>
          <t>tfsa-room</t>
        </is>
      </c>
      <c r="Q29" s="11" t="n">
        <v>5838</v>
      </c>
      <c r="R29" s="9" t="inlineStr">
        <is>
          <t>pages-paste/029-accounts-tfsa-contribution-limit.html</t>
        </is>
      </c>
      <c r="S29" s="9" t="inlineStr">
        <is>
          <t>Not started</t>
        </is>
      </c>
      <c r="T29" s="10" t="n"/>
    </row>
    <row r="30" ht="35.05" customHeight="1" s="7">
      <c r="A30" s="9" t="n">
        <v>30</v>
      </c>
      <c r="B30" s="9" t="n">
        <v>2</v>
      </c>
      <c r="C30" s="10" t="n">
        <v>46319</v>
      </c>
      <c r="D30" s="9" t="inlineStr">
        <is>
          <t>https://wealthscale.ca/accounts/tfsa-withdrawals/</t>
        </is>
      </c>
      <c r="E30" s="9" t="inlineStr">
        <is>
          <t>/accounts/</t>
        </is>
      </c>
      <c r="F30" s="9" t="inlineStr">
        <is>
          <t>TFSA Withdrawal Rules</t>
        </is>
      </c>
      <c r="G30" s="9" t="inlineStr">
        <is>
          <t>TFSA Withdrawal Rules</t>
        </is>
      </c>
      <c r="H30" s="9" t="inlineStr">
        <is>
          <t>TFSA Withdrawal Rules: Tax, Timing and Re-Contributing</t>
        </is>
      </c>
      <c r="I30" s="9">
        <f>LEN(H30)</f>
        <v/>
      </c>
      <c r="J30" s="9" t="inlineStr">
        <is>
          <t>TFSA withdrawal rules: withdrawals are tax-free and return as room on January 1. Put money back too early and any excess is taxed at 1% a month.</t>
        </is>
      </c>
      <c r="K30" s="9">
        <f>LEN(J30)</f>
        <v/>
      </c>
      <c r="L30" s="9" t="inlineStr">
        <is>
          <t>tfsa withdrawal rules</t>
        </is>
      </c>
      <c r="M30" s="9" t="inlineStr">
        <is>
          <t>tfsa withdrawal, re-contribute tfsa, tfsa withdrawal tax, how long tfsa withdrawal</t>
        </is>
      </c>
      <c r="N30" s="9" t="inlineStr">
        <is>
          <t>account-guide</t>
        </is>
      </c>
      <c r="O30" s="9" t="inlineStr">
        <is>
          <t>Yes</t>
        </is>
      </c>
      <c r="P30" s="9" t="inlineStr">
        <is>
          <t>tfsa-room, tfsa-overcontribution</t>
        </is>
      </c>
      <c r="Q30" s="11" t="n">
        <v>5622</v>
      </c>
      <c r="R30" s="9" t="inlineStr">
        <is>
          <t>pages-paste/030-accounts-tfsa-withdrawals.html</t>
        </is>
      </c>
      <c r="S30" s="9" t="inlineStr">
        <is>
          <t>Not started</t>
        </is>
      </c>
      <c r="T30" s="10" t="n"/>
    </row>
    <row r="31" ht="35.05" customHeight="1" s="7">
      <c r="A31" s="9" t="n">
        <v>31</v>
      </c>
      <c r="B31" s="9" t="n">
        <v>2</v>
      </c>
      <c r="C31" s="10" t="n">
        <v>46319</v>
      </c>
      <c r="D31" s="9" t="inlineStr">
        <is>
          <t>https://wealthscale.ca/accounts/us-stocks-in-tfsa/</t>
        </is>
      </c>
      <c r="E31" s="9" t="inlineStr">
        <is>
          <t>/accounts/</t>
        </is>
      </c>
      <c r="F31" s="9" t="inlineStr">
        <is>
          <t>US Stocks in a TFSA</t>
        </is>
      </c>
      <c r="G31" s="9" t="inlineStr">
        <is>
          <t>US Stocks in a TFSA: Withholding Tax and Currency Costs</t>
        </is>
      </c>
      <c r="H31" s="9" t="inlineStr">
        <is>
          <t>US Stocks in TFSA Accounts: Withholding Tax and FX Costs</t>
        </is>
      </c>
      <c r="I31" s="9">
        <f>LEN(H31)</f>
        <v/>
      </c>
      <c r="J31" s="9" t="inlineStr">
        <is>
          <t>US stocks in TFSA accounts lose 15% of every US dividend to withholding tax, and many brokers charge 1.5% or more to convert. See the rules and the fixes.</t>
        </is>
      </c>
      <c r="K31" s="9">
        <f>LEN(J31)</f>
        <v/>
      </c>
      <c r="L31" s="9" t="inlineStr">
        <is>
          <t>us stocks in tfsa</t>
        </is>
      </c>
      <c r="M31" s="9" t="inlineStr">
        <is>
          <t>us dividends tfsa withholding tax, w-8ben tfsa, usd tfsa</t>
        </is>
      </c>
      <c r="N31" s="9" t="inlineStr">
        <is>
          <t>account-guide</t>
        </is>
      </c>
      <c r="O31" s="9" t="inlineStr">
        <is>
          <t>Yes</t>
        </is>
      </c>
      <c r="P31" s="9" t="inlineStr">
        <is>
          <t>us-withholding, fx-cost</t>
        </is>
      </c>
      <c r="Q31" s="11" t="n">
        <v>8338</v>
      </c>
      <c r="R31" s="9" t="inlineStr">
        <is>
          <t>pages-paste/031-accounts-us-stocks-in-tfsa.html</t>
        </is>
      </c>
      <c r="S31" s="9" t="inlineStr">
        <is>
          <t>Not started</t>
        </is>
      </c>
      <c r="T31" s="10" t="n"/>
    </row>
    <row r="32" ht="35.05" customHeight="1" s="7">
      <c r="A32" s="9" t="n">
        <v>32</v>
      </c>
      <c r="B32" s="9" t="n">
        <v>2</v>
      </c>
      <c r="C32" s="10" t="n">
        <v>46319</v>
      </c>
      <c r="D32" s="9" t="inlineStr">
        <is>
          <t>https://wealthscale.ca/accounts/rrsp/</t>
        </is>
      </c>
      <c r="E32" s="9" t="inlineStr">
        <is>
          <t>/accounts/</t>
        </is>
      </c>
      <c r="F32" s="9" t="inlineStr">
        <is>
          <t>RRSP Guide</t>
        </is>
      </c>
      <c r="G32" s="9" t="inlineStr">
        <is>
          <t>RRSP Guide: How a Registered Retirement Savings Plan Works</t>
        </is>
      </c>
      <c r="H32" s="9" t="inlineStr">
        <is>
          <t>RRSP Guide: Rules, Limits, Deadlines and Withdrawals</t>
        </is>
      </c>
      <c r="I32" s="9">
        <f>LEN(H32)</f>
        <v/>
      </c>
      <c r="J32" s="9" t="inlineStr">
        <is>
          <t>An RRSP lets you deduct contributions up to 18% of last year's earned income, to a $33,810 maximum for 2026. Rules, deadline, withdrawals and the HBP.</t>
        </is>
      </c>
      <c r="K32" s="9">
        <f>LEN(J32)</f>
        <v/>
      </c>
      <c r="L32" s="9" t="inlineStr">
        <is>
          <t>rrsp</t>
        </is>
      </c>
      <c r="M32" s="9" t="inlineStr">
        <is>
          <t>registered retirement savings plan, rrsp rules, rrsp deadline 2026, spousal rrsp, rrsp withdrawal</t>
        </is>
      </c>
      <c r="N32" s="9" t="inlineStr">
        <is>
          <t>account-guide</t>
        </is>
      </c>
      <c r="O32" s="9" t="inlineStr">
        <is>
          <t>Yes</t>
        </is>
      </c>
      <c r="P32" s="9" t="inlineStr">
        <is>
          <t>rrsp-room, rrsp-refund, rrsp-withdrawal</t>
        </is>
      </c>
      <c r="Q32" s="11" t="n">
        <v>7944</v>
      </c>
      <c r="R32" s="9" t="inlineStr">
        <is>
          <t>pages-paste/032-accounts-rrsp.html</t>
        </is>
      </c>
      <c r="S32" s="9" t="inlineStr">
        <is>
          <t>Not started</t>
        </is>
      </c>
      <c r="T32" s="10" t="n"/>
    </row>
    <row r="33" ht="35.05" customHeight="1" s="7">
      <c r="A33" s="9" t="n">
        <v>33</v>
      </c>
      <c r="B33" s="9" t="n">
        <v>2</v>
      </c>
      <c r="C33" s="10" t="n">
        <v>46319</v>
      </c>
      <c r="D33" s="9" t="inlineStr">
        <is>
          <t>https://wealthscale.ca/accounts/rrsp-contribution-limit/</t>
        </is>
      </c>
      <c r="E33" s="9" t="inlineStr">
        <is>
          <t>/accounts/</t>
        </is>
      </c>
      <c r="F33" s="9" t="inlineStr">
        <is>
          <t>RRSP Contribution Limit</t>
        </is>
      </c>
      <c r="G33" s="9" t="inlineStr">
        <is>
          <t>RRSP Contribution Limit</t>
        </is>
      </c>
      <c r="H33" s="9" t="inlineStr">
        <is>
          <t>RRSP Contribution Limit 2026: $33,810 and How Room Works</t>
        </is>
      </c>
      <c r="I33" s="9">
        <f>LEN(H33)</f>
        <v/>
      </c>
      <c r="J33" s="9" t="inlineStr">
        <is>
          <t>The RRSP contribution limit 2026 is the lesser of 18% of 2025 earned income and $33,810, minus pension adjustments, plus unused room. Find yours.</t>
        </is>
      </c>
      <c r="K33" s="9">
        <f>LEN(J33)</f>
        <v/>
      </c>
      <c r="L33" s="9" t="inlineStr">
        <is>
          <t>rrsp contribution limit 2026</t>
        </is>
      </c>
      <c r="M33" s="9" t="inlineStr">
        <is>
          <t>rrsp limit 2026, rrsp deduction limit, rrsp dollar limit by year, rrsp over contribution</t>
        </is>
      </c>
      <c r="N33" s="9" t="inlineStr">
        <is>
          <t>account-guide</t>
        </is>
      </c>
      <c r="O33" s="9" t="inlineStr">
        <is>
          <t>Yes</t>
        </is>
      </c>
      <c r="P33" s="9" t="inlineStr">
        <is>
          <t>rrsp-room</t>
        </is>
      </c>
      <c r="Q33" s="11" t="n">
        <v>6273</v>
      </c>
      <c r="R33" s="9" t="inlineStr">
        <is>
          <t>pages-paste/033-accounts-rrsp-contribution-limit.html</t>
        </is>
      </c>
      <c r="S33" s="9" t="inlineStr">
        <is>
          <t>Not started</t>
        </is>
      </c>
      <c r="T33" s="10" t="n"/>
    </row>
    <row r="34" ht="35.05" customHeight="1" s="7">
      <c r="A34" s="9" t="n">
        <v>34</v>
      </c>
      <c r="B34" s="9" t="n">
        <v>2</v>
      </c>
      <c r="C34" s="10" t="n">
        <v>46319</v>
      </c>
      <c r="D34" s="9" t="inlineStr">
        <is>
          <t>https://wealthscale.ca/accounts/home-buyers-plan/</t>
        </is>
      </c>
      <c r="E34" s="9" t="inlineStr">
        <is>
          <t>/accounts/</t>
        </is>
      </c>
      <c r="F34" s="9" t="inlineStr">
        <is>
          <t>Home Buyers' Plan</t>
        </is>
      </c>
      <c r="G34" s="9" t="inlineStr">
        <is>
          <t>RRSP Home Buyers' Plan: Limit, Rules and Repayment</t>
        </is>
      </c>
      <c r="H34" s="9" t="inlineStr">
        <is>
          <t>Home Buyers' Plan: $60,000 Limit, Rules and Repayment</t>
        </is>
      </c>
      <c r="I34" s="9">
        <f>LEN(H34)</f>
        <v/>
      </c>
      <c r="J34" s="9" t="inlineStr">
        <is>
          <t>The Home Buyers' Plan lets each first-time buyer take up to $60,000 from an RRSP for a home and repay it over 15 years. Rules, dates and examples.</t>
        </is>
      </c>
      <c r="K34" s="9">
        <f>LEN(J34)</f>
        <v/>
      </c>
      <c r="L34" s="9" t="inlineStr">
        <is>
          <t>home buyers plan</t>
        </is>
      </c>
      <c r="M34" s="9" t="inlineStr">
        <is>
          <t>hbp limit, home buyers plan repayment, rrsp first time home buyer, hbp and fhsa</t>
        </is>
      </c>
      <c r="N34" s="9" t="inlineStr">
        <is>
          <t>account-guide</t>
        </is>
      </c>
      <c r="O34" s="9" t="inlineStr">
        <is>
          <t>Yes</t>
        </is>
      </c>
      <c r="P34" s="9" t="inlineStr">
        <is>
          <t>hbp-repayment, first-home</t>
        </is>
      </c>
      <c r="Q34" s="11" t="n">
        <v>7849</v>
      </c>
      <c r="R34" s="9" t="inlineStr">
        <is>
          <t>pages-paste/034-accounts-home-buyers-plan.html</t>
        </is>
      </c>
      <c r="S34" s="9" t="inlineStr">
        <is>
          <t>Not started</t>
        </is>
      </c>
      <c r="T34" s="10" t="n"/>
    </row>
    <row r="35" ht="35.05" customHeight="1" s="7">
      <c r="A35" s="9" t="n">
        <v>35</v>
      </c>
      <c r="B35" s="9" t="n">
        <v>2</v>
      </c>
      <c r="C35" s="10" t="n">
        <v>46319</v>
      </c>
      <c r="D35" s="9" t="inlineStr">
        <is>
          <t>https://wealthscale.ca/accounts/fhsa/</t>
        </is>
      </c>
      <c r="E35" s="9" t="inlineStr">
        <is>
          <t>/accounts/</t>
        </is>
      </c>
      <c r="F35" s="9" t="inlineStr">
        <is>
          <t>FHSA Guide</t>
        </is>
      </c>
      <c r="G35" s="9" t="inlineStr">
        <is>
          <t>FHSA Guide: First Home Savings Account Rules</t>
        </is>
      </c>
      <c r="H35" s="9" t="inlineStr">
        <is>
          <t>FHSA Guide: First Home Savings Account Rules and Limits</t>
        </is>
      </c>
      <c r="I35" s="9">
        <f>LEN(H35)</f>
        <v/>
      </c>
      <c r="J35" s="9" t="inlineStr">
        <is>
          <t>FHSA rules explained: contribute $8,000 a year up to a $40,000 lifetime limit, deduct it, and withdraw tax-free for a first home. Deadlines and examples.</t>
        </is>
      </c>
      <c r="K35" s="9">
        <f>LEN(J35)</f>
        <v/>
      </c>
      <c r="L35" s="9" t="inlineStr">
        <is>
          <t>fhsa</t>
        </is>
      </c>
      <c r="M35" s="9" t="inlineStr">
        <is>
          <t>first home savings account, fhsa rules, fhsa limit, fhsa withdrawal, fhsa deadline</t>
        </is>
      </c>
      <c r="N35" s="9" t="inlineStr">
        <is>
          <t>account-guide</t>
        </is>
      </c>
      <c r="O35" s="9" t="inlineStr">
        <is>
          <t>Yes</t>
        </is>
      </c>
      <c r="P35" s="9" t="inlineStr">
        <is>
          <t>fhsa-room, fhsa-eligibility, first-home</t>
        </is>
      </c>
      <c r="Q35" s="11" t="n">
        <v>8350</v>
      </c>
      <c r="R35" s="9" t="inlineStr">
        <is>
          <t>pages-paste/035-accounts-fhsa.html</t>
        </is>
      </c>
      <c r="S35" s="9" t="inlineStr">
        <is>
          <t>Not started</t>
        </is>
      </c>
      <c r="T35" s="10" t="n"/>
    </row>
    <row r="36" ht="35.05" customHeight="1" s="7">
      <c r="A36" s="9" t="n">
        <v>36</v>
      </c>
      <c r="B36" s="9" t="n">
        <v>2</v>
      </c>
      <c r="C36" s="10" t="n">
        <v>46319</v>
      </c>
      <c r="D36" s="9" t="inlineStr">
        <is>
          <t>https://wealthscale.ca/accounts/fhsa-eligibility/</t>
        </is>
      </c>
      <c r="E36" s="9" t="inlineStr">
        <is>
          <t>/accounts/</t>
        </is>
      </c>
      <c r="F36" s="9" t="inlineStr">
        <is>
          <t>FHSA Eligibility</t>
        </is>
      </c>
      <c r="G36" s="9" t="inlineStr">
        <is>
          <t>FHSA Eligibility: Who Counts as a First-Time Home Buyer</t>
        </is>
      </c>
      <c r="H36" s="9" t="inlineStr">
        <is>
          <t>FHSA Eligibility: Who Counts as a First-Time Home Buyer</t>
        </is>
      </c>
      <c r="I36" s="9">
        <f>LEN(H36)</f>
        <v/>
      </c>
      <c r="J36" s="9" t="inlineStr">
        <is>
          <t>FHSA eligibility: four tests decide who can open one. See the first-time home buyer rule, the spouse rule, age 18 to 71 limits and 16 scenarios checked.</t>
        </is>
      </c>
      <c r="K36" s="9">
        <f>LEN(J36)</f>
        <v/>
      </c>
      <c r="L36" s="9" t="inlineStr">
        <is>
          <t>fhsa eligibility</t>
        </is>
      </c>
      <c r="M36" s="9" t="inlineStr">
        <is>
          <t>first time home buyer definition canada, fhsa first time home buyer, fhsa spouse owns home</t>
        </is>
      </c>
      <c r="N36" s="9" t="inlineStr">
        <is>
          <t>account-guide</t>
        </is>
      </c>
      <c r="O36" s="9" t="inlineStr">
        <is>
          <t>Yes</t>
        </is>
      </c>
      <c r="P36" s="9" t="inlineStr">
        <is>
          <t>fhsa-eligibility</t>
        </is>
      </c>
      <c r="Q36" s="11" t="n">
        <v>7954</v>
      </c>
      <c r="R36" s="9" t="inlineStr">
        <is>
          <t>pages-paste/036-accounts-fhsa-eligibility.html</t>
        </is>
      </c>
      <c r="S36" s="9" t="inlineStr">
        <is>
          <t>Not started</t>
        </is>
      </c>
      <c r="T36" s="10" t="n"/>
    </row>
    <row r="37" ht="35.05" customHeight="1" s="7">
      <c r="A37" s="9" t="n">
        <v>37</v>
      </c>
      <c r="B37" s="9" t="n">
        <v>2</v>
      </c>
      <c r="C37" s="10" t="n">
        <v>46319</v>
      </c>
      <c r="D37" s="9" t="inlineStr">
        <is>
          <t>https://wealthscale.ca/accounts/resp/</t>
        </is>
      </c>
      <c r="E37" s="9" t="inlineStr">
        <is>
          <t>/accounts/</t>
        </is>
      </c>
      <c r="F37" s="9" t="inlineStr">
        <is>
          <t>RESP Guide</t>
        </is>
      </c>
      <c r="G37" s="9" t="inlineStr">
        <is>
          <t>RESP Guide: Grants, Limits and Withdrawals</t>
        </is>
      </c>
      <c r="H37" s="9" t="inlineStr">
        <is>
          <t>RESP Guide: Grants, Limits, Withdrawals and Key Rules</t>
        </is>
      </c>
      <c r="I37" s="9">
        <f>LEN(H37)</f>
        <v/>
      </c>
      <c r="J37" s="9" t="inlineStr">
        <is>
          <t>RESP guide for Canadian families: the $50,000 lifetime limit, up to $7,200 in CESG grants, EAP withdrawals and what happens if your child skips school.</t>
        </is>
      </c>
      <c r="K37" s="9">
        <f>LEN(J37)</f>
        <v/>
      </c>
      <c r="L37" s="9" t="inlineStr">
        <is>
          <t>resp</t>
        </is>
      </c>
      <c r="M37" s="9" t="inlineStr">
        <is>
          <t>registered education savings plan, resp rules, family vs individual resp, resp withdrawal</t>
        </is>
      </c>
      <c r="N37" s="9" t="inlineStr">
        <is>
          <t>account-guide</t>
        </is>
      </c>
      <c r="O37" s="9" t="inlineStr">
        <is>
          <t>Yes</t>
        </is>
      </c>
      <c r="P37" s="9" t="inlineStr">
        <is>
          <t>resp-grant</t>
        </is>
      </c>
      <c r="Q37" s="11" t="n">
        <v>8043</v>
      </c>
      <c r="R37" s="9" t="inlineStr">
        <is>
          <t>pages-paste/037-accounts-resp.html</t>
        </is>
      </c>
      <c r="S37" s="9" t="inlineStr">
        <is>
          <t>Not started</t>
        </is>
      </c>
      <c r="T37" s="10" t="n"/>
    </row>
    <row r="38" ht="35.05" customHeight="1" s="7">
      <c r="A38" s="9" t="n">
        <v>38</v>
      </c>
      <c r="B38" s="9" t="n">
        <v>2</v>
      </c>
      <c r="C38" s="10" t="n">
        <v>46319</v>
      </c>
      <c r="D38" s="9" t="inlineStr">
        <is>
          <t>https://wealthscale.ca/accounts/resp-grants/</t>
        </is>
      </c>
      <c r="E38" s="9" t="inlineStr">
        <is>
          <t>/accounts/</t>
        </is>
      </c>
      <c r="F38" s="9" t="inlineStr">
        <is>
          <t>RESP Grants</t>
        </is>
      </c>
      <c r="G38" s="9" t="inlineStr">
        <is>
          <t>RESP Grants: CESG, Additional CESG and Canada Learning Bond</t>
        </is>
      </c>
      <c r="H38" s="9" t="inlineStr">
        <is>
          <t>RESP Grants: CESG, Additional CESG, CLB, BCTESG and QESI</t>
        </is>
      </c>
      <c r="I38" s="9">
        <f>LEN(H38)</f>
        <v/>
      </c>
      <c r="J38" s="9" t="inlineStr">
        <is>
          <t>RESP grant rules for 2026: the 20% CESG worth up to $7,200 per child, the additional CESG, the Canada Learning Bond and the B.C. and Quebec grants.</t>
        </is>
      </c>
      <c r="K38" s="9">
        <f>LEN(J38)</f>
        <v/>
      </c>
      <c r="L38" s="9" t="inlineStr">
        <is>
          <t>resp grant</t>
        </is>
      </c>
      <c r="M38" s="9" t="inlineStr">
        <is>
          <t>cesg, canada education savings grant, canada learning bond, bctesg, qesi</t>
        </is>
      </c>
      <c r="N38" s="9" t="inlineStr">
        <is>
          <t>account-guide</t>
        </is>
      </c>
      <c r="O38" s="9" t="inlineStr">
        <is>
          <t>Yes</t>
        </is>
      </c>
      <c r="P38" s="9" t="inlineStr">
        <is>
          <t>resp-grant</t>
        </is>
      </c>
      <c r="Q38" s="11" t="n">
        <v>6787</v>
      </c>
      <c r="R38" s="9" t="inlineStr">
        <is>
          <t>pages-paste/038-accounts-resp-grants.html</t>
        </is>
      </c>
      <c r="S38" s="9" t="inlineStr">
        <is>
          <t>Not started</t>
        </is>
      </c>
      <c r="T38" s="10" t="n"/>
    </row>
    <row r="39" ht="35.05" customHeight="1" s="7">
      <c r="A39" s="9" t="n">
        <v>39</v>
      </c>
      <c r="B39" s="9" t="n">
        <v>2</v>
      </c>
      <c r="C39" s="10" t="n">
        <v>46319</v>
      </c>
      <c r="D39" s="9" t="inlineStr">
        <is>
          <t>https://wealthscale.ca/accounts/rrif-minimum-withdrawal/</t>
        </is>
      </c>
      <c r="E39" s="9" t="inlineStr">
        <is>
          <t>/accounts/</t>
        </is>
      </c>
      <c r="F39" s="9" t="inlineStr">
        <is>
          <t>RRIF Minimum Withdrawal Table</t>
        </is>
      </c>
      <c r="G39" s="9" t="inlineStr">
        <is>
          <t>RRIF Minimum Withdrawal Table</t>
        </is>
      </c>
      <c r="H39" s="9" t="inlineStr">
        <is>
          <t>RRIF Minimum Withdrawal Table: Factors, Rules and Tax</t>
        </is>
      </c>
      <c r="I39" s="9">
        <f>LEN(H39)</f>
        <v/>
      </c>
      <c r="J39" s="9" t="inlineStr">
        <is>
          <t>RRIF minimum withdrawal table with every factor from age 55 to 95 and over, how the minimum is calculated, the younger-spouse election and withholding tax.</t>
        </is>
      </c>
      <c r="K39" s="9">
        <f>LEN(J39)</f>
        <v/>
      </c>
      <c r="L39" s="9" t="inlineStr">
        <is>
          <t>rrif minimum withdrawal</t>
        </is>
      </c>
      <c r="M39" s="9" t="inlineStr">
        <is>
          <t>rrif minimum withdrawal table 2026, rrif withdrawal rules, rrif factors</t>
        </is>
      </c>
      <c r="N39" s="9" t="inlineStr">
        <is>
          <t>account-guide</t>
        </is>
      </c>
      <c r="O39" s="9" t="inlineStr">
        <is>
          <t>Yes</t>
        </is>
      </c>
      <c r="P39" s="9" t="inlineStr">
        <is>
          <t>rrif-minimum</t>
        </is>
      </c>
      <c r="Q39" s="11" t="n">
        <v>6426</v>
      </c>
      <c r="R39" s="9" t="inlineStr">
        <is>
          <t>pages-paste/039-accounts-rrif-minimum-withdrawal.html</t>
        </is>
      </c>
      <c r="S39" s="9" t="inlineStr">
        <is>
          <t>Not started</t>
        </is>
      </c>
      <c r="T39" s="10" t="n"/>
    </row>
    <row r="40" ht="35.05" customHeight="1" s="7">
      <c r="A40" s="9" t="n">
        <v>95</v>
      </c>
      <c r="B40" s="9" t="n">
        <v>2</v>
      </c>
      <c r="C40" s="10" t="n">
        <v>46319</v>
      </c>
      <c r="D40" s="9" t="inlineStr">
        <is>
          <t>https://wealthscale.ca/markets/how-to-buy-us-stocks/</t>
        </is>
      </c>
      <c r="E40" s="9" t="inlineStr">
        <is>
          <t>/markets/</t>
        </is>
      </c>
      <c r="F40" s="9" t="inlineStr">
        <is>
          <t>How to Buy US Stocks in Canada</t>
        </is>
      </c>
      <c r="G40" s="9" t="inlineStr">
        <is>
          <t>How to Buy US Stocks in Canada and Cut FX Fees</t>
        </is>
      </c>
      <c r="H40" s="9" t="inlineStr">
        <is>
          <t>How to Buy US Stocks in Canada: Brokers, FX Fees and Tax</t>
        </is>
      </c>
      <c r="I40" s="9">
        <f>LEN(H40)</f>
        <v/>
      </c>
      <c r="J40" s="9" t="inlineStr">
        <is>
          <t>How to buy US stocks in Canada: pick a broker with USD accounts, file a W-8BEN for the 15% treaty rate, and convert for as little as US$2 instead of 1.5%.</t>
        </is>
      </c>
      <c r="K40" s="9">
        <f>LEN(J40)</f>
        <v/>
      </c>
      <c r="L40" s="9" t="inlineStr">
        <is>
          <t>how to buy us stocks in canada</t>
        </is>
      </c>
      <c r="M40" s="9" t="inlineStr">
        <is>
          <t>buy us stocks canada, usd account, best way to buy us stocks canada</t>
        </is>
      </c>
      <c r="N40" s="9" t="inlineStr">
        <is>
          <t>markets-guide</t>
        </is>
      </c>
      <c r="O40" s="9" t="inlineStr">
        <is>
          <t>Yes</t>
        </is>
      </c>
      <c r="P40" s="9" t="inlineStr">
        <is>
          <t>fx-cost, us-withholding, norberts-gambit</t>
        </is>
      </c>
      <c r="Q40" s="11" t="n">
        <v>7312</v>
      </c>
      <c r="R40" s="9" t="inlineStr">
        <is>
          <t>pages-paste/095-markets-how-to-buy-us-stocks.html</t>
        </is>
      </c>
      <c r="S40" s="9" t="inlineStr">
        <is>
          <t>Not started</t>
        </is>
      </c>
      <c r="T40" s="10" t="n"/>
    </row>
    <row r="41" ht="35.05" customHeight="1" s="7">
      <c r="A41" s="9" t="n">
        <v>96</v>
      </c>
      <c r="B41" s="9" t="n">
        <v>2</v>
      </c>
      <c r="C41" s="10" t="n">
        <v>46319</v>
      </c>
      <c r="D41" s="9" t="inlineStr">
        <is>
          <t>https://wealthscale.ca/learn/how-to-invest/</t>
        </is>
      </c>
      <c r="E41" s="9" t="inlineStr">
        <is>
          <t>/learn/</t>
        </is>
      </c>
      <c r="F41" s="9" t="inlineStr">
        <is>
          <t>How to Invest in Canada</t>
        </is>
      </c>
      <c r="G41" s="9" t="inlineStr">
        <is>
          <t>How to Invest in Canada: A Step-by-Step Guide</t>
        </is>
      </c>
      <c r="H41" s="9" t="inlineStr">
        <is>
          <t>How to Invest in Canada: 10 Steps From Budget to First Trade</t>
        </is>
      </c>
      <c r="I41" s="9">
        <f>LEN(H41)</f>
        <v/>
      </c>
      <c r="J41" s="9" t="inlineStr">
        <is>
          <t>How to invest in Canada in 10 steps: budget, pick a TFSA, RRSP or FHSA, compare DIY and robo fees from 0.37% a year at $50,000, then make a first trade.</t>
        </is>
      </c>
      <c r="K41" s="9">
        <f>LEN(J41)</f>
        <v/>
      </c>
      <c r="L41" s="9" t="inlineStr">
        <is>
          <t>how to invest in canada</t>
        </is>
      </c>
      <c r="M41" s="9" t="inlineStr">
        <is>
          <t>how to start investing in canada, investing for beginners, where to invest money canada</t>
        </is>
      </c>
      <c r="N41" s="9" t="inlineStr">
        <is>
          <t>learn-guide</t>
        </is>
      </c>
      <c r="O41" s="9" t="inlineStr">
        <is>
          <t>Yes</t>
        </is>
      </c>
      <c r="P41" s="9" t="inlineStr">
        <is>
          <t>account-chooser, compound-interest, fee-drag</t>
        </is>
      </c>
      <c r="Q41" s="11" t="n">
        <v>7394</v>
      </c>
      <c r="R41" s="9" t="inlineStr">
        <is>
          <t>pages-paste/096-learn-how-to-invest.html</t>
        </is>
      </c>
      <c r="S41" s="9" t="inlineStr">
        <is>
          <t>Not started</t>
        </is>
      </c>
      <c r="T41" s="10" t="n"/>
    </row>
    <row r="42" ht="35.05" customHeight="1" s="7">
      <c r="A42" s="9" t="n">
        <v>40</v>
      </c>
      <c r="B42" s="9" t="n">
        <v>3</v>
      </c>
      <c r="C42" s="10" t="n">
        <v>46320</v>
      </c>
      <c r="D42" s="9" t="inlineStr">
        <is>
          <t>https://wealthscale.ca/reviews/wealthsimple/</t>
        </is>
      </c>
      <c r="E42" s="9" t="inlineStr">
        <is>
          <t>/reviews/</t>
        </is>
      </c>
      <c r="F42" s="9" t="inlineStr">
        <is>
          <t>Wealthsimple Review</t>
        </is>
      </c>
      <c r="G42" s="9" t="inlineStr">
        <is>
          <t>Wealthsimple Review: Every Account, Fee and Product</t>
        </is>
      </c>
      <c r="H42" s="9" t="inlineStr">
        <is>
          <t>Wealthsimple Review: Fees, Tiers, Accounts and Safety</t>
        </is>
      </c>
      <c r="I42" s="9">
        <f>LEN(H42)</f>
        <v/>
      </c>
      <c r="J42" s="9" t="inlineStr">
        <is>
          <t>Wealthsimple review: $0 stock commissions, a 1.5% FX fee on US trades, tiers at $100,000 and $500,000 and a broker score of 4.0 / 5. Every product rated.</t>
        </is>
      </c>
      <c r="K42" s="9">
        <f>LEN(J42)</f>
        <v/>
      </c>
      <c r="L42" s="9" t="inlineStr">
        <is>
          <t>wealthsimple review</t>
        </is>
      </c>
      <c r="M42" s="9" t="inlineStr">
        <is>
          <t>is wealthsimple good, wealthsimple pros and cons, wealthsimple fees, wealthsimple premium</t>
        </is>
      </c>
      <c r="N42" s="9" t="inlineStr">
        <is>
          <t>ws-review</t>
        </is>
      </c>
      <c r="O42" s="9" t="inlineStr">
        <is>
          <t>Yes</t>
        </is>
      </c>
      <c r="P42" s="9" t="inlineStr">
        <is>
          <t>ws-tier, broker-cost</t>
        </is>
      </c>
      <c r="Q42" s="11" t="n">
        <v>9039</v>
      </c>
      <c r="R42" s="9" t="inlineStr">
        <is>
          <t>pages-paste/040-reviews-wealthsimple.html</t>
        </is>
      </c>
      <c r="S42" s="9" t="inlineStr">
        <is>
          <t>Not started</t>
        </is>
      </c>
      <c r="T42" s="10" t="n"/>
    </row>
    <row r="43" ht="35.05" customHeight="1" s="7">
      <c r="A43" s="9" t="n">
        <v>41</v>
      </c>
      <c r="B43" s="9" t="n">
        <v>3</v>
      </c>
      <c r="C43" s="10" t="n">
        <v>46320</v>
      </c>
      <c r="D43" s="9" t="inlineStr">
        <is>
          <t>https://wealthscale.ca/reviews/wealthsimple/trade/</t>
        </is>
      </c>
      <c r="E43" s="9" t="inlineStr">
        <is>
          <t>/reviews/wealthsimple/</t>
        </is>
      </c>
      <c r="F43" s="9" t="inlineStr">
        <is>
          <t>Wealthsimple Trade Review</t>
        </is>
      </c>
      <c r="G43" s="9" t="inlineStr">
        <is>
          <t>Wealthsimple Trade Review: Self-Directed Investing</t>
        </is>
      </c>
      <c r="H43" s="9" t="inlineStr">
        <is>
          <t>Wealthsimple Trade Review: Fees, FX, Options and Margin</t>
        </is>
      </c>
      <c r="I43" s="9">
        <f>LEN(H43)</f>
        <v/>
      </c>
      <c r="J43" s="9" t="inlineStr">
        <is>
          <t>Wealthsimple Trade review: $0 commissions on Canadian and US stocks, $0 options contracts, a 1.5% FX fee and margin from 3.95%. Broker score 4.0 / 5.</t>
        </is>
      </c>
      <c r="K43" s="9">
        <f>LEN(J43)</f>
        <v/>
      </c>
      <c r="L43" s="9" t="inlineStr">
        <is>
          <t>wealthsimple trade review</t>
        </is>
      </c>
      <c r="M43" s="9" t="inlineStr">
        <is>
          <t>wealthsimple self directed investing, wealthsimple trade fees, wealthsimple options</t>
        </is>
      </c>
      <c r="N43" s="9" t="inlineStr">
        <is>
          <t>ws-review</t>
        </is>
      </c>
      <c r="O43" s="9" t="inlineStr">
        <is>
          <t>Yes</t>
        </is>
      </c>
      <c r="P43" s="9" t="inlineStr">
        <is>
          <t>broker-cost, fx-cost</t>
        </is>
      </c>
      <c r="Q43" s="11" t="n">
        <v>7518</v>
      </c>
      <c r="R43" s="9" t="inlineStr">
        <is>
          <t>pages-paste/041-reviews-wealthsimple-trade.html</t>
        </is>
      </c>
      <c r="S43" s="9" t="inlineStr">
        <is>
          <t>Not started</t>
        </is>
      </c>
      <c r="T43" s="10" t="n"/>
    </row>
    <row r="44" ht="35.05" customHeight="1" s="7">
      <c r="A44" s="9" t="n">
        <v>42</v>
      </c>
      <c r="B44" s="9" t="n">
        <v>3</v>
      </c>
      <c r="C44" s="10" t="n">
        <v>46320</v>
      </c>
      <c r="D44" s="9" t="inlineStr">
        <is>
          <t>https://wealthscale.ca/reviews/wealthsimple/managed-investing/</t>
        </is>
      </c>
      <c r="E44" s="9" t="inlineStr">
        <is>
          <t>/reviews/wealthsimple/</t>
        </is>
      </c>
      <c r="F44" s="9" t="inlineStr">
        <is>
          <t>Wealthsimple Managed Investing Review</t>
        </is>
      </c>
      <c r="G44" s="9" t="inlineStr">
        <is>
          <t>Wealthsimple Managed Investing Review</t>
        </is>
      </c>
      <c r="H44" s="9" t="inlineStr">
        <is>
          <t>Wealthsimple Managed Investing Review: Fees and Portfolios</t>
        </is>
      </c>
      <c r="I44" s="9">
        <f>LEN(H44)</f>
        <v/>
      </c>
      <c r="J44" s="9" t="inlineStr">
        <is>
          <t>Wealthsimple managed investing review: 0.5% a year on Core, 0.4% from $100,000, Classic fund costs up to 0.15% and tax-loss harvesting on Premium.</t>
        </is>
      </c>
      <c r="K44" s="9">
        <f>LEN(J44)</f>
        <v/>
      </c>
      <c r="L44" s="9" t="inlineStr">
        <is>
          <t>wealthsimple managed investing review</t>
        </is>
      </c>
      <c r="M44" s="9" t="inlineStr">
        <is>
          <t>wealthsimple robo advisor, wealthsimple managed fees, wealthsimple portfolios</t>
        </is>
      </c>
      <c r="N44" s="9" t="inlineStr">
        <is>
          <t>ws-review</t>
        </is>
      </c>
      <c r="O44" s="9" t="inlineStr">
        <is>
          <t>Yes</t>
        </is>
      </c>
      <c r="P44" s="9" t="inlineStr">
        <is>
          <t>robo-fee, fee-drag</t>
        </is>
      </c>
      <c r="Q44" s="11" t="n">
        <v>7764</v>
      </c>
      <c r="R44" s="9" t="inlineStr">
        <is>
          <t>pages-paste/042-reviews-wealthsimple-managed-investing.html</t>
        </is>
      </c>
      <c r="S44" s="9" t="inlineStr">
        <is>
          <t>Not started</t>
        </is>
      </c>
      <c r="T44" s="10" t="n"/>
    </row>
    <row r="45" ht="35.05" customHeight="1" s="7">
      <c r="A45" s="9" t="n">
        <v>43</v>
      </c>
      <c r="B45" s="9" t="n">
        <v>3</v>
      </c>
      <c r="C45" s="10" t="n">
        <v>46320</v>
      </c>
      <c r="D45" s="9" t="inlineStr">
        <is>
          <t>https://wealthscale.ca/reviews/wealthsimple/chequing/</t>
        </is>
      </c>
      <c r="E45" s="9" t="inlineStr">
        <is>
          <t>/reviews/wealthsimple/</t>
        </is>
      </c>
      <c r="F45" s="9" t="inlineStr">
        <is>
          <t>Wealthsimple Chequing Review</t>
        </is>
      </c>
      <c r="G45" s="9" t="inlineStr">
        <is>
          <t>Wealthsimple Chequing Review</t>
        </is>
      </c>
      <c r="H45" s="9" t="inlineStr">
        <is>
          <t>Wealthsimple Chequing Review: Rates by Tier, Fees, CDIC</t>
        </is>
      </c>
      <c r="I45" s="9">
        <f>LEN(H45)</f>
        <v/>
      </c>
      <c r="J45" s="9" t="inlineStr">
        <is>
          <t>Wealthsimple chequing review: $0 monthly fee, 1.25% on Core and up to 2.25% by tier, ATM fees reimbursed worldwide, CDIC cover to $1,000,000. Score 4.4 / 5.</t>
        </is>
      </c>
      <c r="K45" s="9">
        <f>LEN(J45)</f>
        <v/>
      </c>
      <c r="L45" s="9" t="inlineStr">
        <is>
          <t>wealthsimple chequing review</t>
        </is>
      </c>
      <c r="M45" s="9" t="inlineStr">
        <is>
          <t>wealthsimple chequing interest rate, wealthsimple cash, wealthsimple chequing cdic</t>
        </is>
      </c>
      <c r="N45" s="9" t="inlineStr">
        <is>
          <t>ws-review</t>
        </is>
      </c>
      <c r="O45" s="9" t="inlineStr">
        <is>
          <t>Yes</t>
        </is>
      </c>
      <c r="P45" s="9" t="inlineStr">
        <is>
          <t>chequing-cost, deposit-insurance</t>
        </is>
      </c>
      <c r="Q45" s="11" t="n">
        <v>5725</v>
      </c>
      <c r="R45" s="9" t="inlineStr">
        <is>
          <t>pages-paste/043-reviews-wealthsimple-chequing.html</t>
        </is>
      </c>
      <c r="S45" s="9" t="inlineStr">
        <is>
          <t>Not started</t>
        </is>
      </c>
      <c r="T45" s="10" t="n"/>
    </row>
    <row r="46" ht="35.05" customHeight="1" s="7">
      <c r="A46" s="9" t="n">
        <v>44</v>
      </c>
      <c r="B46" s="9" t="n">
        <v>3</v>
      </c>
      <c r="C46" s="10" t="n">
        <v>46320</v>
      </c>
      <c r="D46" s="9" t="inlineStr">
        <is>
          <t>https://wealthscale.ca/reviews/wealthsimple/visa-infinite-card/</t>
        </is>
      </c>
      <c r="E46" s="9" t="inlineStr">
        <is>
          <t>/reviews/wealthsimple/</t>
        </is>
      </c>
      <c r="F46" s="9" t="inlineStr">
        <is>
          <t>Wealthsimple Credit Card Review: Visa Infinite+</t>
        </is>
      </c>
      <c r="G46" s="9" t="inlineStr">
        <is>
          <t>Wealthsimple Credit Card Review: Visa Infinite+</t>
        </is>
      </c>
      <c r="H46" s="9" t="inlineStr">
        <is>
          <t>Wealthsimple Credit Card Review: Cash Back, Fee and Perks</t>
        </is>
      </c>
      <c r="I46" s="9">
        <f>LEN(H46)</f>
        <v/>
      </c>
      <c r="J46" s="9" t="inlineStr">
        <is>
          <t>Wealthsimple credit card review: 2% cash back, a 0% FX fee and a $20 monthly fee unless waived, so you need $12,000 a year in spending to break even.</t>
        </is>
      </c>
      <c r="K46" s="9">
        <f>LEN(J46)</f>
        <v/>
      </c>
      <c r="L46" s="9" t="inlineStr">
        <is>
          <t>wealthsimple credit card</t>
        </is>
      </c>
      <c r="M46" s="9" t="inlineStr">
        <is>
          <t>wealthsimple visa infinite, wealthsimple cash back card, wealthsimple credit card fee</t>
        </is>
      </c>
      <c r="N46" s="9" t="inlineStr">
        <is>
          <t>ws-review</t>
        </is>
      </c>
      <c r="O46" s="9" t="inlineStr">
        <is>
          <t>No</t>
        </is>
      </c>
      <c r="P46" s="9" t="inlineStr">
        <is>
          <t>card-cashback</t>
        </is>
      </c>
      <c r="Q46" s="11" t="n">
        <v>6243</v>
      </c>
      <c r="R46" s="9" t="inlineStr">
        <is>
          <t>pages-paste/044-reviews-wealthsimple-visa-infinite-card.html</t>
        </is>
      </c>
      <c r="S46" s="9" t="inlineStr">
        <is>
          <t>Not started</t>
        </is>
      </c>
      <c r="T46" s="10" t="n"/>
    </row>
    <row r="47" ht="35.05" customHeight="1" s="7">
      <c r="A47" s="9" t="n">
        <v>45</v>
      </c>
      <c r="B47" s="9" t="n">
        <v>3</v>
      </c>
      <c r="C47" s="10" t="n">
        <v>46320</v>
      </c>
      <c r="D47" s="9" t="inlineStr">
        <is>
          <t>https://wealthscale.ca/reviews/wealthsimple/crypto/</t>
        </is>
      </c>
      <c r="E47" s="9" t="inlineStr">
        <is>
          <t>/reviews/wealthsimple/</t>
        </is>
      </c>
      <c r="F47" s="9" t="inlineStr">
        <is>
          <t>Wealthsimple Crypto Review</t>
        </is>
      </c>
      <c r="G47" s="9" t="inlineStr">
        <is>
          <t>Wealthsimple Crypto Review</t>
        </is>
      </c>
      <c r="H47" s="9" t="inlineStr">
        <is>
          <t>Wealthsimple Crypto Review: Fees, Staking and Safety</t>
        </is>
      </c>
      <c r="I47" s="9">
        <f>LEN(H47)</f>
        <v/>
      </c>
      <c r="J47" s="9" t="inlineStr">
        <is>
          <t>Wealthsimple crypto review: a 0.5% fee plus spread on market orders, no fee or spread on recurring buys, 170+ coins, staking and a 4.6 / 5 crypto score.</t>
        </is>
      </c>
      <c r="K47" s="9">
        <f>LEN(J47)</f>
        <v/>
      </c>
      <c r="L47" s="9" t="inlineStr">
        <is>
          <t>wealthsimple crypto review</t>
        </is>
      </c>
      <c r="M47" s="9" t="inlineStr">
        <is>
          <t>wealthsimple crypto fees, wealthsimple staking, is wealthsimple crypto safe</t>
        </is>
      </c>
      <c r="N47" s="9" t="inlineStr">
        <is>
          <t>ws-review</t>
        </is>
      </c>
      <c r="O47" s="9" t="inlineStr">
        <is>
          <t>Yes</t>
        </is>
      </c>
      <c r="P47" s="9" t="inlineStr">
        <is>
          <t>crypto-fee</t>
        </is>
      </c>
      <c r="Q47" s="11" t="n">
        <v>7311</v>
      </c>
      <c r="R47" s="9" t="inlineStr">
        <is>
          <t>pages-paste/045-reviews-wealthsimple-crypto.html</t>
        </is>
      </c>
      <c r="S47" s="9" t="inlineStr">
        <is>
          <t>Not started</t>
        </is>
      </c>
      <c r="T47" s="10" t="n"/>
    </row>
    <row r="48" ht="23.85" customHeight="1" s="7">
      <c r="A48" s="9" t="n">
        <v>46</v>
      </c>
      <c r="B48" s="9" t="n">
        <v>3</v>
      </c>
      <c r="C48" s="10" t="n">
        <v>46320</v>
      </c>
      <c r="D48" s="9" t="inlineStr">
        <is>
          <t>https://wealthscale.ca/reviews/wealthsimple/tax/</t>
        </is>
      </c>
      <c r="E48" s="9" t="inlineStr">
        <is>
          <t>/reviews/wealthsimple/</t>
        </is>
      </c>
      <c r="F48" s="9" t="inlineStr">
        <is>
          <t>Wealthsimple Tax Review</t>
        </is>
      </c>
      <c r="G48" s="9" t="inlineStr">
        <is>
          <t>Wealthsimple Tax Review</t>
        </is>
      </c>
      <c r="H48" s="9" t="inlineStr">
        <is>
          <t>Wealthsimple Tax Review: Pricing, Plans and NETFILE</t>
        </is>
      </c>
      <c r="I48" s="9">
        <f>LEN(H48)</f>
        <v/>
      </c>
      <c r="J48" s="9" t="inlineStr">
        <is>
          <t>Wealthsimple tax review: Basic is pay what you want for 2 returns, Plus is $40 and Pro $80 plus tax, NETFILE-certified, with a 4.8 / 5 score.</t>
        </is>
      </c>
      <c r="K48" s="9">
        <f>LEN(J48)</f>
        <v/>
      </c>
      <c r="L48" s="9" t="inlineStr">
        <is>
          <t>wealthsimple tax review</t>
        </is>
      </c>
      <c r="M48" s="9" t="inlineStr">
        <is>
          <t>wealthsimple tax free, wealthsimple tax pricing, wealthsimple tax plus</t>
        </is>
      </c>
      <c r="N48" s="9" t="inlineStr">
        <is>
          <t>ws-review</t>
        </is>
      </c>
      <c r="O48" s="9" t="inlineStr">
        <is>
          <t>No</t>
        </is>
      </c>
      <c r="P48" s="9" t="inlineStr">
        <is>
          <t>tax-software-picker</t>
        </is>
      </c>
      <c r="Q48" s="11" t="n">
        <v>6899</v>
      </c>
      <c r="R48" s="9" t="inlineStr">
        <is>
          <t>pages-paste/046-reviews-wealthsimple-tax.html</t>
        </is>
      </c>
      <c r="S48" s="9" t="inlineStr">
        <is>
          <t>Not started</t>
        </is>
      </c>
      <c r="T48" s="10" t="n"/>
    </row>
    <row r="49" ht="35.05" customHeight="1" s="7">
      <c r="A49" s="9" t="n">
        <v>47</v>
      </c>
      <c r="B49" s="9" t="n">
        <v>3</v>
      </c>
      <c r="C49" s="10" t="n">
        <v>46320</v>
      </c>
      <c r="D49" s="9" t="inlineStr">
        <is>
          <t>https://wealthscale.ca/reviews/wealthsimple/fees/</t>
        </is>
      </c>
      <c r="E49" s="9" t="inlineStr">
        <is>
          <t>/reviews/wealthsimple/</t>
        </is>
      </c>
      <c r="F49" s="9" t="inlineStr">
        <is>
          <t>Wealthsimple Fees</t>
        </is>
      </c>
      <c r="G49" s="9" t="inlineStr">
        <is>
          <t>Wealthsimple Fees: Every Fee by Product and Tier</t>
        </is>
      </c>
      <c r="H49" s="9" t="inlineStr">
        <is>
          <t>Wealthsimple Fees: FX, Transfer and Premium Fees Explained</t>
        </is>
      </c>
      <c r="I49" s="9">
        <f>LEN(H49)</f>
        <v/>
      </c>
      <c r="J49" s="9" t="inlineStr">
        <is>
          <t>Wealthsimple fees explained: $0 stock commissions, a 1.5% FX fee, a $10 monthly USD account on Core and $0 to transfer out. Every fee by product and tier.</t>
        </is>
      </c>
      <c r="K49" s="9">
        <f>LEN(J49)</f>
        <v/>
      </c>
      <c r="L49" s="9" t="inlineStr">
        <is>
          <t>wealthsimple fees</t>
        </is>
      </c>
      <c r="M49" s="9" t="inlineStr">
        <is>
          <t>wealthsimple fx fee, wealthsimple premium fees, wealthsimple transfer fee</t>
        </is>
      </c>
      <c r="N49" s="9" t="inlineStr">
        <is>
          <t>ws-guide</t>
        </is>
      </c>
      <c r="O49" s="9" t="inlineStr">
        <is>
          <t>Yes</t>
        </is>
      </c>
      <c r="P49" s="9" t="inlineStr">
        <is>
          <t>ws-tier, fx-cost</t>
        </is>
      </c>
      <c r="Q49" s="11" t="n">
        <v>7172</v>
      </c>
      <c r="R49" s="9" t="inlineStr">
        <is>
          <t>pages-paste/047-reviews-wealthsimple-fees.html</t>
        </is>
      </c>
      <c r="S49" s="9" t="inlineStr">
        <is>
          <t>Not started</t>
        </is>
      </c>
      <c r="T49" s="10" t="n"/>
    </row>
    <row r="50" ht="35.05" customHeight="1" s="7">
      <c r="A50" s="9" t="n">
        <v>48</v>
      </c>
      <c r="B50" s="9" t="n">
        <v>3</v>
      </c>
      <c r="C50" s="10" t="n">
        <v>46320</v>
      </c>
      <c r="D50" s="9" t="inlineStr">
        <is>
          <t>https://wealthscale.ca/reviews/wealthsimple/is-wealthsimple-safe/</t>
        </is>
      </c>
      <c r="E50" s="9" t="inlineStr">
        <is>
          <t>/reviews/wealthsimple/</t>
        </is>
      </c>
      <c r="F50" s="9" t="inlineStr">
        <is>
          <t>Is Wealthsimple Safe?</t>
        </is>
      </c>
      <c r="G50" s="9" t="inlineStr">
        <is>
          <t>Is Wealthsimple Safe? CIPF and CDIC Coverage</t>
        </is>
      </c>
      <c r="H50" s="9" t="inlineStr">
        <is>
          <t>Is Wealthsimple Safe? CIPF, CDIC and Crypto Protection</t>
        </is>
      </c>
      <c r="I50" s="9">
        <f>LEN(H50)</f>
        <v/>
      </c>
      <c r="J50" s="9" t="inlineStr">
        <is>
          <t>Is Wealthsimple safe? Its dealer is a CIRO member covered by CIPF up to $1,000,000 per account group, and chequing gets up to $1,000,000 of CDIC cover.</t>
        </is>
      </c>
      <c r="K50" s="9">
        <f>LEN(J50)</f>
        <v/>
      </c>
      <c r="L50" s="9" t="inlineStr">
        <is>
          <t>is wealthsimple safe</t>
        </is>
      </c>
      <c r="M50" s="9" t="inlineStr">
        <is>
          <t>wealthsimple cipf, wealthsimple cdic, is wealthsimple legit</t>
        </is>
      </c>
      <c r="N50" s="9" t="inlineStr">
        <is>
          <t>ws-guide</t>
        </is>
      </c>
      <c r="O50" s="9" t="inlineStr">
        <is>
          <t>Yes</t>
        </is>
      </c>
      <c r="P50" s="9" t="inlineStr">
        <is>
          <t>deposit-insurance</t>
        </is>
      </c>
      <c r="Q50" s="11" t="n">
        <v>7659</v>
      </c>
      <c r="R50" s="9" t="inlineStr">
        <is>
          <t>pages-paste/048-reviews-wealthsimple-is-wealthsimple-safe.html</t>
        </is>
      </c>
      <c r="S50" s="9" t="inlineStr">
        <is>
          <t>Not started</t>
        </is>
      </c>
      <c r="T50" s="10" t="n"/>
    </row>
    <row r="51" ht="35.05" customHeight="1" s="7">
      <c r="A51" s="9" t="n">
        <v>49</v>
      </c>
      <c r="B51" s="9" t="n">
        <v>3</v>
      </c>
      <c r="C51" s="10" t="n">
        <v>46320</v>
      </c>
      <c r="D51" s="9" t="inlineStr">
        <is>
          <t>https://wealthscale.ca/reviews/wealthsimple/membership-tiers/</t>
        </is>
      </c>
      <c r="E51" s="9" t="inlineStr">
        <is>
          <t>/reviews/wealthsimple/</t>
        </is>
      </c>
      <c r="F51" s="9" t="inlineStr">
        <is>
          <t>Wealthsimple Core vs Premium vs Generation</t>
        </is>
      </c>
      <c r="G51" s="9" t="inlineStr">
        <is>
          <t>Wealthsimple Core vs Premium vs Generation</t>
        </is>
      </c>
      <c r="H51" s="9" t="inlineStr">
        <is>
          <t>Wealthsimple Premium vs Core vs Generation: Is It Worth It?</t>
        </is>
      </c>
      <c r="I51" s="9">
        <f>LEN(H51)</f>
        <v/>
      </c>
      <c r="J51" s="9" t="inlineStr">
        <is>
          <t>Wealthsimple Premium starts at $100,000 and Generation at $500,000. See every benefit by tier, the household rules and when upgrading saves you money.</t>
        </is>
      </c>
      <c r="K51" s="9">
        <f>LEN(J51)</f>
        <v/>
      </c>
      <c r="L51" s="9" t="inlineStr">
        <is>
          <t>wealthsimple premium</t>
        </is>
      </c>
      <c r="M51" s="9" t="inlineStr">
        <is>
          <t>wealthsimple generation, wealthsimple core, wealthsimple tiers</t>
        </is>
      </c>
      <c r="N51" s="9" t="inlineStr">
        <is>
          <t>ws-review</t>
        </is>
      </c>
      <c r="O51" s="9" t="inlineStr">
        <is>
          <t>Yes</t>
        </is>
      </c>
      <c r="P51" s="9" t="inlineStr">
        <is>
          <t>ws-tier</t>
        </is>
      </c>
      <c r="Q51" s="11" t="n">
        <v>7152</v>
      </c>
      <c r="R51" s="9" t="inlineStr">
        <is>
          <t>pages-paste/049-reviews-wealthsimple-membership-tiers.html</t>
        </is>
      </c>
      <c r="S51" s="9" t="inlineStr">
        <is>
          <t>Not started</t>
        </is>
      </c>
      <c r="T51" s="10" t="n"/>
    </row>
    <row r="52" ht="35.05" customHeight="1" s="7">
      <c r="A52" s="9" t="n">
        <v>50</v>
      </c>
      <c r="B52" s="9" t="n">
        <v>3</v>
      </c>
      <c r="C52" s="10" t="n">
        <v>46320</v>
      </c>
      <c r="D52" s="9" t="inlineStr">
        <is>
          <t>https://wealthscale.ca/reviews/wealthsimple/usd-accounts/</t>
        </is>
      </c>
      <c r="E52" s="9" t="inlineStr">
        <is>
          <t>/reviews/wealthsimple/</t>
        </is>
      </c>
      <c r="F52" s="9" t="inlineStr">
        <is>
          <t>Wealthsimple USD Accounts Review</t>
        </is>
      </c>
      <c r="G52" s="9" t="inlineStr">
        <is>
          <t>Wealthsimple USD Accounts Review</t>
        </is>
      </c>
      <c r="H52" s="9" t="inlineStr">
        <is>
          <t>Wealthsimple USD Account Review: Fees, TFSA and RRSP</t>
        </is>
      </c>
      <c r="I52" s="9">
        <f>LEN(H52)</f>
        <v/>
      </c>
      <c r="J52" s="9" t="inlineStr">
        <is>
          <t>Wealthsimple USD account review: $10 a month on Core, included on Premium and Generation, with conversion fees falling from 1.5% to 0% at $100,000.</t>
        </is>
      </c>
      <c r="K52" s="9">
        <f>LEN(J52)</f>
        <v/>
      </c>
      <c r="L52" s="9" t="inlineStr">
        <is>
          <t>wealthsimple usd account</t>
        </is>
      </c>
      <c r="M52" s="9" t="inlineStr">
        <is>
          <t>wealthsimple usd tfsa, wealthsimple usd rrsp, wealthsimple usd savings</t>
        </is>
      </c>
      <c r="N52" s="9" t="inlineStr">
        <is>
          <t>ws-review</t>
        </is>
      </c>
      <c r="O52" s="9" t="inlineStr">
        <is>
          <t>Yes</t>
        </is>
      </c>
      <c r="P52" s="9" t="inlineStr">
        <is>
          <t>fx-cost, hisa-earnings[usd]</t>
        </is>
      </c>
      <c r="Q52" s="11" t="n">
        <v>7435</v>
      </c>
      <c r="R52" s="9" t="inlineStr">
        <is>
          <t>pages-paste/050-reviews-wealthsimple-usd-accounts.html</t>
        </is>
      </c>
      <c r="S52" s="9" t="inlineStr">
        <is>
          <t>Not started</t>
        </is>
      </c>
      <c r="T52" s="10" t="n"/>
    </row>
    <row r="53" ht="35.05" customHeight="1" s="7">
      <c r="A53" s="9" t="n">
        <v>51</v>
      </c>
      <c r="B53" s="9" t="n">
        <v>3</v>
      </c>
      <c r="C53" s="10" t="n">
        <v>46320</v>
      </c>
      <c r="D53" s="9" t="inlineStr">
        <is>
          <t>https://wealthscale.ca/reviews/wealthsimple/fhsa/</t>
        </is>
      </c>
      <c r="E53" s="9" t="inlineStr">
        <is>
          <t>/reviews/wealthsimple/</t>
        </is>
      </c>
      <c r="F53" s="9" t="inlineStr">
        <is>
          <t>Wealthsimple FHSA Review</t>
        </is>
      </c>
      <c r="G53" s="9" t="inlineStr">
        <is>
          <t>Wealthsimple FHSA Review</t>
        </is>
      </c>
      <c r="H53" s="9" t="inlineStr">
        <is>
          <t>Wealthsimple FHSA Review: Fees, Managed vs Self-Directed</t>
        </is>
      </c>
      <c r="I53" s="9">
        <f>LEN(H53)</f>
        <v/>
      </c>
      <c r="J53" s="9" t="inlineStr">
        <is>
          <t>Wealthsimple FHSA review: $0 stock and ETF commissions, managed portfolios from 0.5% a year on Core, and transfer fees covered on $25,000 or more.</t>
        </is>
      </c>
      <c r="K53" s="9">
        <f>LEN(J53)</f>
        <v/>
      </c>
      <c r="L53" s="9" t="inlineStr">
        <is>
          <t>wealthsimple fhsa</t>
        </is>
      </c>
      <c r="M53" s="9" t="inlineStr">
        <is>
          <t>wealthsimple first home savings account, fhsa wealthsimple managed</t>
        </is>
      </c>
      <c r="N53" s="9" t="inlineStr">
        <is>
          <t>ws-review</t>
        </is>
      </c>
      <c r="O53" s="9" t="inlineStr">
        <is>
          <t>Yes</t>
        </is>
      </c>
      <c r="P53" s="9" t="inlineStr">
        <is>
          <t>fhsa-room</t>
        </is>
      </c>
      <c r="Q53" s="11" t="n">
        <v>7383</v>
      </c>
      <c r="R53" s="9" t="inlineStr">
        <is>
          <t>pages-paste/051-reviews-wealthsimple-fhsa.html</t>
        </is>
      </c>
      <c r="S53" s="9" t="inlineStr">
        <is>
          <t>Not started</t>
        </is>
      </c>
      <c r="T53" s="10" t="n"/>
    </row>
    <row r="54" ht="35.05" customHeight="1" s="7">
      <c r="A54" s="9" t="n">
        <v>52</v>
      </c>
      <c r="B54" s="9" t="n">
        <v>3</v>
      </c>
      <c r="C54" s="10" t="n">
        <v>46320</v>
      </c>
      <c r="D54" s="9" t="inlineStr">
        <is>
          <t>https://wealthscale.ca/reviews/wealthsimple/tfsa/</t>
        </is>
      </c>
      <c r="E54" s="9" t="inlineStr">
        <is>
          <t>/reviews/wealthsimple/</t>
        </is>
      </c>
      <c r="F54" s="9" t="inlineStr">
        <is>
          <t>Wealthsimple TFSA Review</t>
        </is>
      </c>
      <c r="G54" s="9" t="inlineStr">
        <is>
          <t>Wealthsimple TFSA Review</t>
        </is>
      </c>
      <c r="H54" s="9" t="inlineStr">
        <is>
          <t>Wealthsimple TFSA Review: Fees, USD TFSA and Transfers</t>
        </is>
      </c>
      <c r="I54" s="9">
        <f>LEN(H54)</f>
        <v/>
      </c>
      <c r="J54" s="9" t="inlineStr">
        <is>
          <t>Wealthsimple TFSA review: $0 stock and ETF commissions, managed from 0.5% a year, a USD option, and transfer fees covered on $25,000 or more in 2026.</t>
        </is>
      </c>
      <c r="K54" s="9">
        <f>LEN(J54)</f>
        <v/>
      </c>
      <c r="L54" s="9" t="inlineStr">
        <is>
          <t>wealthsimple tfsa</t>
        </is>
      </c>
      <c r="M54" s="9" t="inlineStr">
        <is>
          <t>wealthsimple tfsa fees, wealthsimple tfsa usd, wealthsimple tfsa transfer</t>
        </is>
      </c>
      <c r="N54" s="9" t="inlineStr">
        <is>
          <t>ws-review</t>
        </is>
      </c>
      <c r="O54" s="9" t="inlineStr">
        <is>
          <t>Yes</t>
        </is>
      </c>
      <c r="P54" s="9" t="inlineStr">
        <is>
          <t>tfsa-room</t>
        </is>
      </c>
      <c r="Q54" s="11" t="n">
        <v>7365</v>
      </c>
      <c r="R54" s="9" t="inlineStr">
        <is>
          <t>pages-paste/052-reviews-wealthsimple-tfsa.html</t>
        </is>
      </c>
      <c r="S54" s="9" t="inlineStr">
        <is>
          <t>Not started</t>
        </is>
      </c>
      <c r="T54" s="10" t="n"/>
    </row>
    <row r="55" ht="35.05" customHeight="1" s="7">
      <c r="A55" s="9" t="n">
        <v>86</v>
      </c>
      <c r="B55" s="9" t="n">
        <v>3</v>
      </c>
      <c r="C55" s="10" t="n">
        <v>46320</v>
      </c>
      <c r="D55" s="9" t="inlineStr">
        <is>
          <t>https://wealthscale.ca/vs/wealthsimple-vs-questrade/</t>
        </is>
      </c>
      <c r="E55" s="9" t="inlineStr">
        <is>
          <t>/vs/</t>
        </is>
      </c>
      <c r="F55" s="9" t="inlineStr">
        <is>
          <t>Wealthsimple vs Questrade</t>
        </is>
      </c>
      <c r="G55" s="9" t="inlineStr">
        <is>
          <t>Wealthsimple vs Questrade</t>
        </is>
      </c>
      <c r="H55" s="9" t="inlineStr">
        <is>
          <t>Wealthsimple vs Questrade: Fees, FX and USD Accounts</t>
        </is>
      </c>
      <c r="I55" s="9">
        <f>LEN(H55)</f>
        <v/>
      </c>
      <c r="J55" s="9" t="inlineStr">
        <is>
          <t>Wealthsimple vs Questrade: both charge $0 on stock trades and 1.5% to convert currency, and both score 4.0 / 5. Compare USD accounts, margin and costs.</t>
        </is>
      </c>
      <c r="K55" s="9">
        <f>LEN(J55)</f>
        <v/>
      </c>
      <c r="L55" s="9" t="inlineStr">
        <is>
          <t>wealthsimple vs questrade</t>
        </is>
      </c>
      <c r="M55" s="9" t="inlineStr">
        <is>
          <t>questrade or wealthsimple, wealthsimple questrade fees</t>
        </is>
      </c>
      <c r="N55" s="9" t="inlineStr">
        <is>
          <t>versus-platform</t>
        </is>
      </c>
      <c r="O55" s="9" t="inlineStr">
        <is>
          <t>Yes</t>
        </is>
      </c>
      <c r="P55" s="9" t="inlineStr">
        <is>
          <t>broker-cost, fx-cost</t>
        </is>
      </c>
      <c r="Q55" s="11" t="n">
        <v>7101</v>
      </c>
      <c r="R55" s="9" t="inlineStr">
        <is>
          <t>pages-paste/086-vs-wealthsimple-vs-questrade.html</t>
        </is>
      </c>
      <c r="S55" s="9" t="inlineStr">
        <is>
          <t>Not started</t>
        </is>
      </c>
      <c r="T55" s="10" t="n"/>
    </row>
    <row r="56" ht="35.05" customHeight="1" s="7">
      <c r="A56" s="9" t="n">
        <v>87</v>
      </c>
      <c r="B56" s="9" t="n">
        <v>3</v>
      </c>
      <c r="C56" s="10" t="n">
        <v>46320</v>
      </c>
      <c r="D56" s="9" t="inlineStr">
        <is>
          <t>https://wealthscale.ca/vs/wealthsimple-vs-interactive-brokers/</t>
        </is>
      </c>
      <c r="E56" s="9" t="inlineStr">
        <is>
          <t>/vs/</t>
        </is>
      </c>
      <c r="F56" s="9" t="inlineStr">
        <is>
          <t>Wealthsimple vs Interactive Brokers</t>
        </is>
      </c>
      <c r="G56" s="9" t="inlineStr">
        <is>
          <t>Wealthsimple vs Interactive Brokers</t>
        </is>
      </c>
      <c r="H56" s="9" t="inlineStr">
        <is>
          <t>Wealthsimple vs Interactive Brokers: Fees, FX and Margin</t>
        </is>
      </c>
      <c r="I56" s="9">
        <f>LEN(H56)</f>
        <v/>
      </c>
      <c r="J56" s="9" t="inlineStr">
        <is>
          <t>Wealthsimple vs Interactive Brokers: $0 trades vs per-share pricing, 1.5% FX vs a US$2 minimum, and margin at 4.95% vs 3.675%. Scores: 4.0 and 4.4 / 5.</t>
        </is>
      </c>
      <c r="K56" s="9">
        <f>LEN(J56)</f>
        <v/>
      </c>
      <c r="L56" s="9" t="inlineStr">
        <is>
          <t>wealthsimple vs interactive brokers</t>
        </is>
      </c>
      <c r="M56" s="9" t="inlineStr">
        <is>
          <t>wealthsimple vs ibkr</t>
        </is>
      </c>
      <c r="N56" s="9" t="inlineStr">
        <is>
          <t>versus-platform</t>
        </is>
      </c>
      <c r="O56" s="9" t="inlineStr">
        <is>
          <t>Yes</t>
        </is>
      </c>
      <c r="P56" s="9" t="inlineStr">
        <is>
          <t>broker-cost, fx-cost</t>
        </is>
      </c>
      <c r="Q56" s="11" t="n">
        <v>6823</v>
      </c>
      <c r="R56" s="9" t="inlineStr">
        <is>
          <t>pages-paste/087-vs-wealthsimple-vs-interactive-brokers.html</t>
        </is>
      </c>
      <c r="S56" s="9" t="inlineStr">
        <is>
          <t>Not started</t>
        </is>
      </c>
      <c r="T56" s="10" t="n"/>
    </row>
    <row r="57" ht="35.05" customHeight="1" s="7">
      <c r="A57" s="9" t="n">
        <v>88</v>
      </c>
      <c r="B57" s="9" t="n">
        <v>3</v>
      </c>
      <c r="C57" s="10" t="n">
        <v>46320</v>
      </c>
      <c r="D57" s="9" t="inlineStr">
        <is>
          <t>https://wealthscale.ca/vs/wealthsimple-vs-moomoo/</t>
        </is>
      </c>
      <c r="E57" s="9" t="inlineStr">
        <is>
          <t>/vs/</t>
        </is>
      </c>
      <c r="F57" s="9" t="inlineStr">
        <is>
          <t>Wealthsimple vs moomoo</t>
        </is>
      </c>
      <c r="G57" s="9" t="inlineStr">
        <is>
          <t>Wealthsimple vs moomoo</t>
        </is>
      </c>
      <c r="H57" s="9" t="inlineStr">
        <is>
          <t>Wealthsimple vs moomoo: Accounts, Fractional Shares, Fees</t>
        </is>
      </c>
      <c r="I57" s="9">
        <f>LEN(H57)</f>
        <v/>
      </c>
      <c r="J57" s="9" t="inlineStr">
        <is>
          <t>Wealthsimple vs moomoo: Wealthsimple has FHSA, RESP, fractional shares and DRIP with $0 trades; moomoo charges from CA$1.49 a trade. Scores 4.0 vs 3.3 / 5.</t>
        </is>
      </c>
      <c r="K57" s="9">
        <f>LEN(J57)</f>
        <v/>
      </c>
      <c r="L57" s="9" t="inlineStr">
        <is>
          <t>wealthsimple vs moomoo</t>
        </is>
      </c>
      <c r="M57" s="9" t="inlineStr">
        <is>
          <t>moomoo or wealthsimple</t>
        </is>
      </c>
      <c r="N57" s="9" t="inlineStr">
        <is>
          <t>versus-platform</t>
        </is>
      </c>
      <c r="O57" s="9" t="inlineStr">
        <is>
          <t>Yes</t>
        </is>
      </c>
      <c r="P57" s="9" t="inlineStr">
        <is>
          <t>broker-cost</t>
        </is>
      </c>
      <c r="Q57" s="11" t="n">
        <v>6291</v>
      </c>
      <c r="R57" s="9" t="inlineStr">
        <is>
          <t>pages-paste/088-vs-wealthsimple-vs-moomoo.html</t>
        </is>
      </c>
      <c r="S57" s="9" t="inlineStr">
        <is>
          <t>Not started</t>
        </is>
      </c>
      <c r="T57" s="10" t="n"/>
    </row>
    <row r="58" ht="35.05" customHeight="1" s="7">
      <c r="A58" s="9" t="n">
        <v>89</v>
      </c>
      <c r="B58" s="9" t="n">
        <v>3</v>
      </c>
      <c r="C58" s="10" t="n">
        <v>46320</v>
      </c>
      <c r="D58" s="9" t="inlineStr">
        <is>
          <t>https://wealthscale.ca/vs/wealthsimple-vs-eq-bank/</t>
        </is>
      </c>
      <c r="E58" s="9" t="inlineStr">
        <is>
          <t>/vs/</t>
        </is>
      </c>
      <c r="F58" s="9" t="inlineStr">
        <is>
          <t>Wealthsimple vs EQ Bank</t>
        </is>
      </c>
      <c r="G58" s="9" t="inlineStr">
        <is>
          <t>Wealthsimple vs EQ Bank</t>
        </is>
      </c>
      <c r="H58" s="9" t="inlineStr">
        <is>
          <t>Wealthsimple vs EQ Bank: Chequing, Savings and CDIC Compared</t>
        </is>
      </c>
      <c r="I58" s="9">
        <f>LEN(H58)</f>
        <v/>
      </c>
      <c r="J58" s="9" t="inlineStr">
        <is>
          <t>Wealthsimple vs EQ Bank: EQ pays 2.75% with a pay deposit and scores 4.6 / 5; Wealthsimple pays more without one and scores 4.4 / 5. Fees, cards, CDIC.</t>
        </is>
      </c>
      <c r="K58" s="9">
        <f>LEN(J58)</f>
        <v/>
      </c>
      <c r="L58" s="9" t="inlineStr">
        <is>
          <t>wealthsimple vs eq bank</t>
        </is>
      </c>
      <c r="M58" s="9" t="inlineStr">
        <is>
          <t>eq bank or wealthsimple, wealthsimple chequing vs eq bank</t>
        </is>
      </c>
      <c r="N58" s="9" t="inlineStr">
        <is>
          <t>versus-platform</t>
        </is>
      </c>
      <c r="O58" s="9" t="inlineStr">
        <is>
          <t>Yes</t>
        </is>
      </c>
      <c r="P58" s="9" t="inlineStr">
        <is>
          <t>hisa-earnings, chequing-cost</t>
        </is>
      </c>
      <c r="Q58" s="11" t="n">
        <v>5586</v>
      </c>
      <c r="R58" s="9" t="inlineStr">
        <is>
          <t>pages-paste/089-vs-wealthsimple-vs-eq-bank.html</t>
        </is>
      </c>
      <c r="S58" s="9" t="inlineStr">
        <is>
          <t>Not started</t>
        </is>
      </c>
      <c r="T58" s="10" t="n"/>
    </row>
    <row r="59" ht="35.05" customHeight="1" s="7">
      <c r="A59" s="9" t="n">
        <v>97</v>
      </c>
      <c r="B59" s="9" t="n">
        <v>3</v>
      </c>
      <c r="C59" s="10" t="n">
        <v>46320</v>
      </c>
      <c r="D59" s="9" t="inlineStr">
        <is>
          <t>https://wealthscale.ca/learn/norberts-gambit/</t>
        </is>
      </c>
      <c r="E59" s="9" t="inlineStr">
        <is>
          <t>/learn/</t>
        </is>
      </c>
      <c r="F59" s="9" t="inlineStr">
        <is>
          <t>Norbert's Gambit</t>
        </is>
      </c>
      <c r="G59" s="9" t="inlineStr">
        <is>
          <t>Norbert's Gambit: Step-by-Step Guide</t>
        </is>
      </c>
      <c r="H59" s="9" t="inlineStr">
        <is>
          <t>Norbert's Gambit: How to Convert CAD to USD for Less</t>
        </is>
      </c>
      <c r="I59" s="9">
        <f>LEN(H59)</f>
        <v/>
      </c>
      <c r="J59" s="9" t="inlineStr">
        <is>
          <t>Norbert's Gambit swaps a 1.5% broker currency fee for two ETF trades. See break-even amounts by broker, the journal step, DLR and DLR.U and tax rules.</t>
        </is>
      </c>
      <c r="K59" s="9">
        <f>LEN(J59)</f>
        <v/>
      </c>
      <c r="L59" s="9" t="inlineStr">
        <is>
          <t>norberts gambit</t>
        </is>
      </c>
      <c r="M59" s="9" t="inlineStr">
        <is>
          <t>norbert's gambit questrade, norbert's gambit wealthsimple, dlr dlr.u</t>
        </is>
      </c>
      <c r="N59" s="9" t="inlineStr">
        <is>
          <t>learn-guide</t>
        </is>
      </c>
      <c r="O59" s="9" t="inlineStr">
        <is>
          <t>Yes</t>
        </is>
      </c>
      <c r="P59" s="9" t="inlineStr">
        <is>
          <t>norberts-gambit, fx-cost</t>
        </is>
      </c>
      <c r="Q59" s="11" t="n">
        <v>7563</v>
      </c>
      <c r="R59" s="9" t="inlineStr">
        <is>
          <t>pages-paste/097-learn-norberts-gambit.html</t>
        </is>
      </c>
      <c r="S59" s="9" t="inlineStr">
        <is>
          <t>Not started</t>
        </is>
      </c>
      <c r="T59" s="10" t="n"/>
    </row>
    <row r="60" ht="35.05" customHeight="1" s="7">
      <c r="A60" s="9" t="n">
        <v>98</v>
      </c>
      <c r="B60" s="9" t="n">
        <v>3</v>
      </c>
      <c r="C60" s="10" t="n">
        <v>46320</v>
      </c>
      <c r="D60" s="9" t="inlineStr">
        <is>
          <t>https://wealthscale.ca/learn/transfer-investment-account/</t>
        </is>
      </c>
      <c r="E60" s="9" t="inlineStr">
        <is>
          <t>/learn/</t>
        </is>
      </c>
      <c r="F60" s="9" t="inlineStr">
        <is>
          <t>Transfer an Investment Account</t>
        </is>
      </c>
      <c r="G60" s="9" t="inlineStr">
        <is>
          <t>How to Transfer a TFSA, RRSP or Investment Account</t>
        </is>
      </c>
      <c r="H60" s="9" t="inlineStr">
        <is>
          <t>How to Transfer Investment Account Assets: TFSA, RRSP, Fees</t>
        </is>
      </c>
      <c r="I60" s="9">
        <f>LEN(H60)</f>
        <v/>
      </c>
      <c r="J60" s="9" t="inlineStr">
        <is>
          <t>How to transfer investment account assets in Canada: use a direct transfer to protect TFSA room, and compare $150 transfer-out fees and rebates by broker.</t>
        </is>
      </c>
      <c r="K60" s="9">
        <f>LEN(J60)</f>
        <v/>
      </c>
      <c r="L60" s="9" t="inlineStr">
        <is>
          <t>how to transfer investment account</t>
        </is>
      </c>
      <c r="M60" s="9" t="inlineStr">
        <is>
          <t>transfer tfsa to another bank, rrsp transfer, in-kind transfer, t2033</t>
        </is>
      </c>
      <c r="N60" s="9" t="inlineStr">
        <is>
          <t>learn-guide</t>
        </is>
      </c>
      <c r="O60" s="9" t="inlineStr">
        <is>
          <t>Yes</t>
        </is>
      </c>
      <c r="P60" s="9" t="inlineStr">
        <is>
          <t>transfer-fee</t>
        </is>
      </c>
      <c r="Q60" s="11" t="n">
        <v>7481</v>
      </c>
      <c r="R60" s="9" t="inlineStr">
        <is>
          <t>pages-paste/098-learn-transfer-investment-account.html</t>
        </is>
      </c>
      <c r="S60" s="9" t="inlineStr">
        <is>
          <t>Not started</t>
        </is>
      </c>
      <c r="T60" s="10" t="n"/>
    </row>
    <row r="61" ht="35.05" customHeight="1" s="7">
      <c r="A61" s="9" t="n">
        <v>99</v>
      </c>
      <c r="B61" s="9" t="n">
        <v>3</v>
      </c>
      <c r="C61" s="10" t="n">
        <v>46320</v>
      </c>
      <c r="D61" s="9" t="inlineStr">
        <is>
          <t>https://wealthscale.ca/benefits/cpp-oas-payment-dates/</t>
        </is>
      </c>
      <c r="E61" s="9" t="inlineStr">
        <is>
          <t>/benefits/</t>
        </is>
      </c>
      <c r="F61" s="9" t="inlineStr">
        <is>
          <t>CPP and OAS Payment Dates</t>
        </is>
      </c>
      <c r="G61" s="9" t="inlineStr">
        <is>
          <t>CPP and OAS Payment Dates</t>
        </is>
      </c>
      <c r="H61" s="9" t="inlineStr">
        <is>
          <t>CPP Payment Dates 2026: CPP, OAS and GIS Deposit Calendar</t>
        </is>
      </c>
      <c r="I61" s="9">
        <f>LEN(H61)</f>
        <v/>
      </c>
      <c r="J61" s="9" t="inlineStr">
        <is>
          <t>CPP payment dates 2026: the next CPP, OAS and GIS deposit is October 28, 2026. See all 12 dates, the $1,507.65 CPP maximum and the OAS amounts.</t>
        </is>
      </c>
      <c r="K61" s="9">
        <f>LEN(J61)</f>
        <v/>
      </c>
      <c r="L61" s="9" t="inlineStr">
        <is>
          <t>cpp payment dates 2026</t>
        </is>
      </c>
      <c r="M61" s="9" t="inlineStr">
        <is>
          <t>oas payment dates 2026, cpp payment dates 2027, when is cpp paid, oas clawback 2026</t>
        </is>
      </c>
      <c r="N61" s="9" t="inlineStr">
        <is>
          <t>benefit-dates</t>
        </is>
      </c>
      <c r="O61" s="9" t="inlineStr">
        <is>
          <t>No</t>
        </is>
      </c>
      <c r="P61" s="9" t="inlineStr">
        <is>
          <t>benefit-dates[cpp_oas], cpp-start-age, oas-clawback</t>
        </is>
      </c>
      <c r="Q61" s="11" t="n">
        <v>5552</v>
      </c>
      <c r="R61" s="9" t="inlineStr">
        <is>
          <t>pages-paste/099-benefits-cpp-oas-payment-dates.html</t>
        </is>
      </c>
      <c r="S61" s="9" t="inlineStr">
        <is>
          <t>Not started</t>
        </is>
      </c>
      <c r="T61" s="10" t="n"/>
    </row>
    <row r="62" ht="35.05" customHeight="1" s="7">
      <c r="A62" s="9" t="n">
        <v>53</v>
      </c>
      <c r="B62" s="9" t="n">
        <v>4</v>
      </c>
      <c r="C62" s="10" t="n">
        <v>46321</v>
      </c>
      <c r="D62" s="9" t="inlineStr">
        <is>
          <t>https://wealthscale.ca/compare/best-online-brokers/</t>
        </is>
      </c>
      <c r="E62" s="9" t="inlineStr">
        <is>
          <t>/compare/</t>
        </is>
      </c>
      <c r="F62" s="9" t="inlineStr">
        <is>
          <t>Best Online Brokers in Canada</t>
        </is>
      </c>
      <c r="G62" s="9" t="inlineStr">
        <is>
          <t>Best Online Brokers in Canada</t>
        </is>
      </c>
      <c r="H62" s="9" t="inlineStr">
        <is>
          <t>Best Online Brokerage Canada 2026: 13 Brokers Ranked</t>
        </is>
      </c>
      <c r="I62" s="9">
        <f>LEN(H62)</f>
        <v/>
      </c>
      <c r="J62" s="9" t="inlineStr">
        <is>
          <t>Best online brokerage Canada rankings for 2026: 13 brokers scored on cost, FX, accounts and safety. Interactive Brokers leads at 4.4 / 5; seven charge $0.</t>
        </is>
      </c>
      <c r="K62" s="9">
        <f>LEN(J62)</f>
        <v/>
      </c>
      <c r="L62" s="9" t="inlineStr">
        <is>
          <t>best online brokerage canada</t>
        </is>
      </c>
      <c r="M62" s="9" t="inlineStr">
        <is>
          <t>best online broker canada, best discount brokerage, cheapest online broker canada</t>
        </is>
      </c>
      <c r="N62" s="9" t="inlineStr">
        <is>
          <t>best-of</t>
        </is>
      </c>
      <c r="O62" s="9" t="inlineStr">
        <is>
          <t>Yes</t>
        </is>
      </c>
      <c r="P62" s="9" t="inlineStr">
        <is>
          <t>broker-match, broker-cost</t>
        </is>
      </c>
      <c r="Q62" s="11" t="n">
        <v>13772</v>
      </c>
      <c r="R62" s="9" t="inlineStr">
        <is>
          <t>pages-paste/053-compare-best-online-brokers.html</t>
        </is>
      </c>
      <c r="S62" s="9" t="inlineStr">
        <is>
          <t>Not started</t>
        </is>
      </c>
      <c r="T62" s="10" t="n"/>
    </row>
    <row r="63" ht="35.05" customHeight="1" s="7">
      <c r="A63" s="9" t="n">
        <v>54</v>
      </c>
      <c r="B63" s="9" t="n">
        <v>4</v>
      </c>
      <c r="C63" s="10" t="n">
        <v>46321</v>
      </c>
      <c r="D63" s="9" t="inlineStr">
        <is>
          <t>https://wealthscale.ca/compare/best-robo-advisors/</t>
        </is>
      </c>
      <c r="E63" s="9" t="inlineStr">
        <is>
          <t>/compare/</t>
        </is>
      </c>
      <c r="F63" s="9" t="inlineStr">
        <is>
          <t>Best Robo-Advisors in Canada</t>
        </is>
      </c>
      <c r="G63" s="9" t="inlineStr">
        <is>
          <t>Best Robo-Advisors in Canada</t>
        </is>
      </c>
      <c r="H63" s="9" t="inlineStr">
        <is>
          <t>Best Robo Advisor Canada 2026: 4 Ranked on Fees and Score</t>
        </is>
      </c>
      <c r="I63" s="9">
        <f>LEN(H63)</f>
        <v/>
      </c>
      <c r="J63" s="9" t="inlineStr">
        <is>
          <t>Best robo advisor Canada 2026: four robo-advisors ranked by score and cost. Questwealth costs $185 a year on $50,000; Wealthsimple leads at 4.2 / 5.</t>
        </is>
      </c>
      <c r="K63" s="9">
        <f>LEN(J63)</f>
        <v/>
      </c>
      <c r="L63" s="9" t="inlineStr">
        <is>
          <t>best robo advisor canada</t>
        </is>
      </c>
      <c r="M63" s="9" t="inlineStr">
        <is>
          <t>robo advisor canada fees, cheapest robo advisor canada</t>
        </is>
      </c>
      <c r="N63" s="9" t="inlineStr">
        <is>
          <t>best-of</t>
        </is>
      </c>
      <c r="O63" s="9" t="inlineStr">
        <is>
          <t>Yes</t>
        </is>
      </c>
      <c r="P63" s="9" t="inlineStr">
        <is>
          <t>robo-fee, fee-drag</t>
        </is>
      </c>
      <c r="Q63" s="11" t="n">
        <v>9513</v>
      </c>
      <c r="R63" s="9" t="inlineStr">
        <is>
          <t>pages-paste/054-compare-best-robo-advisors.html</t>
        </is>
      </c>
      <c r="S63" s="9" t="inlineStr">
        <is>
          <t>Not started</t>
        </is>
      </c>
      <c r="T63" s="10" t="n"/>
    </row>
    <row r="64" ht="35.05" customHeight="1" s="7">
      <c r="A64" s="9" t="n">
        <v>55</v>
      </c>
      <c r="B64" s="9" t="n">
        <v>4</v>
      </c>
      <c r="C64" s="10" t="n">
        <v>46321</v>
      </c>
      <c r="D64" s="9" t="inlineStr">
        <is>
          <t>https://wealthscale.ca/compare/best-investing-apps/</t>
        </is>
      </c>
      <c r="E64" s="9" t="inlineStr">
        <is>
          <t>/compare/</t>
        </is>
      </c>
      <c r="F64" s="9" t="inlineStr">
        <is>
          <t>Best Investing Apps in Canada</t>
        </is>
      </c>
      <c r="G64" s="9" t="inlineStr">
        <is>
          <t>Best Investing Apps in Canada</t>
        </is>
      </c>
      <c r="H64" s="9" t="inlineStr">
        <is>
          <t>Best Investing App Canada 2026: 10 Apps Ranked by Score</t>
        </is>
      </c>
      <c r="I64" s="9">
        <f>LEN(H64)</f>
        <v/>
      </c>
      <c r="J64" s="9" t="inlineStr">
        <is>
          <t>Best investing app Canada 2026: 10 broker apps ranked on fees, accounts and safety. Wealthsimple leads at 4.5 / 5 with $0 stock trades and 1.5% FX.</t>
        </is>
      </c>
      <c r="K64" s="9">
        <f>LEN(J64)</f>
        <v/>
      </c>
      <c r="L64" s="9" t="inlineStr">
        <is>
          <t>best investing app canada</t>
        </is>
      </c>
      <c r="M64" s="9" t="inlineStr">
        <is>
          <t>best stock trading app canada, investing apps canada</t>
        </is>
      </c>
      <c r="N64" s="9" t="inlineStr">
        <is>
          <t>best-of</t>
        </is>
      </c>
      <c r="O64" s="9" t="inlineStr">
        <is>
          <t>Yes</t>
        </is>
      </c>
      <c r="P64" s="9" t="inlineStr">
        <is>
          <t>broker-match</t>
        </is>
      </c>
      <c r="Q64" s="11" t="n">
        <v>11313</v>
      </c>
      <c r="R64" s="9" t="inlineStr">
        <is>
          <t>pages-paste/055-compare-best-investing-apps.html</t>
        </is>
      </c>
      <c r="S64" s="9" t="inlineStr">
        <is>
          <t>Not started</t>
        </is>
      </c>
      <c r="T64" s="10" t="n"/>
    </row>
    <row r="65" ht="35.05" customHeight="1" s="7">
      <c r="A65" s="9" t="n">
        <v>56</v>
      </c>
      <c r="B65" s="9" t="n">
        <v>4</v>
      </c>
      <c r="C65" s="10" t="n">
        <v>46321</v>
      </c>
      <c r="D65" s="9" t="inlineStr">
        <is>
          <t>https://wealthscale.ca/compare/best-tfsa-accounts/</t>
        </is>
      </c>
      <c r="E65" s="9" t="inlineStr">
        <is>
          <t>/compare/</t>
        </is>
      </c>
      <c r="F65" s="9" t="inlineStr">
        <is>
          <t>Best TFSA Accounts in Canada</t>
        </is>
      </c>
      <c r="G65" s="9" t="inlineStr">
        <is>
          <t>Best TFSA Accounts in Canada</t>
        </is>
      </c>
      <c r="H65" s="9" t="inlineStr">
        <is>
          <t>Best TFSA Account Canada 2026: 13 Brokers and Robos Ranked</t>
        </is>
      </c>
      <c r="I65" s="9">
        <f>LEN(H65)</f>
        <v/>
      </c>
      <c r="J65" s="9" t="inlineStr">
        <is>
          <t>Best TFSA account Canada rankings for 2026: 13 brokers, 4 robo-advisors and TFSA savings rates. Interactive Brokers leads at 4.4 / 5. Limit: $7,000.</t>
        </is>
      </c>
      <c r="K65" s="9">
        <f>LEN(J65)</f>
        <v/>
      </c>
      <c r="L65" s="9" t="inlineStr">
        <is>
          <t>best tfsa account canada</t>
        </is>
      </c>
      <c r="M65" s="9" t="inlineStr">
        <is>
          <t>where to open a tfsa, best tfsa investment platform</t>
        </is>
      </c>
      <c r="N65" s="9" t="inlineStr">
        <is>
          <t>account-listing</t>
        </is>
      </c>
      <c r="O65" s="9" t="inlineStr">
        <is>
          <t>Yes</t>
        </is>
      </c>
      <c r="P65" s="9" t="inlineStr">
        <is>
          <t>tfsa-room, broker-cost</t>
        </is>
      </c>
      <c r="Q65" s="11" t="n">
        <v>11931</v>
      </c>
      <c r="R65" s="9" t="inlineStr">
        <is>
          <t>pages-paste/056-compare-best-tfsa-accounts.html</t>
        </is>
      </c>
      <c r="S65" s="9" t="inlineStr">
        <is>
          <t>Not started</t>
        </is>
      </c>
      <c r="T65" s="10" t="n"/>
    </row>
    <row r="66" ht="35.05" customHeight="1" s="7">
      <c r="A66" s="9" t="n">
        <v>57</v>
      </c>
      <c r="B66" s="9" t="n">
        <v>4</v>
      </c>
      <c r="C66" s="10" t="n">
        <v>46321</v>
      </c>
      <c r="D66" s="9" t="inlineStr">
        <is>
          <t>https://wealthscale.ca/compare/best-rrsp-accounts/</t>
        </is>
      </c>
      <c r="E66" s="9" t="inlineStr">
        <is>
          <t>/compare/</t>
        </is>
      </c>
      <c r="F66" s="9" t="inlineStr">
        <is>
          <t>Best RRSP Accounts in Canada</t>
        </is>
      </c>
      <c r="G66" s="9" t="inlineStr">
        <is>
          <t>Best RRSP Accounts in Canada</t>
        </is>
      </c>
      <c r="H66" s="9" t="inlineStr">
        <is>
          <t>Best RRSP Account Canada 2026: 13 Brokers and Robos Ranked</t>
        </is>
      </c>
      <c r="I66" s="9">
        <f>LEN(H66)</f>
        <v/>
      </c>
      <c r="J66" s="9" t="inlineStr">
        <is>
          <t>Best RRSP account Canada rankings for 2026: 13 brokers, 4 robos, spousal RRSP and RRIF support. Interactive Brokers leads at 4.4 / 5. Limit: $33,810.</t>
        </is>
      </c>
      <c r="K66" s="9">
        <f>LEN(J66)</f>
        <v/>
      </c>
      <c r="L66" s="9" t="inlineStr">
        <is>
          <t>best rrsp account canada</t>
        </is>
      </c>
      <c r="M66" s="9" t="inlineStr">
        <is>
          <t>where to open rrsp, best rrsp platform</t>
        </is>
      </c>
      <c r="N66" s="9" t="inlineStr">
        <is>
          <t>account-listing</t>
        </is>
      </c>
      <c r="O66" s="9" t="inlineStr">
        <is>
          <t>Yes</t>
        </is>
      </c>
      <c r="P66" s="9" t="inlineStr">
        <is>
          <t>rrsp-refund</t>
        </is>
      </c>
      <c r="Q66" s="11" t="n">
        <v>11153</v>
      </c>
      <c r="R66" s="9" t="inlineStr">
        <is>
          <t>pages-paste/057-compare-best-rrsp-accounts.html</t>
        </is>
      </c>
      <c r="S66" s="9" t="inlineStr">
        <is>
          <t>Not started</t>
        </is>
      </c>
      <c r="T66" s="10" t="n"/>
    </row>
    <row r="67" ht="35.05" customHeight="1" s="7">
      <c r="A67" s="9" t="n">
        <v>58</v>
      </c>
      <c r="B67" s="9" t="n">
        <v>4</v>
      </c>
      <c r="C67" s="10" t="n">
        <v>46321</v>
      </c>
      <c r="D67" s="9" t="inlineStr">
        <is>
          <t>https://wealthscale.ca/compare/best-fhsa-accounts/</t>
        </is>
      </c>
      <c r="E67" s="9" t="inlineStr">
        <is>
          <t>/compare/</t>
        </is>
      </c>
      <c r="F67" s="9" t="inlineStr">
        <is>
          <t>Best FHSA Accounts in Canada</t>
        </is>
      </c>
      <c r="G67" s="9" t="inlineStr">
        <is>
          <t>Best FHSA Accounts in Canada</t>
        </is>
      </c>
      <c r="H67" s="9" t="inlineStr">
        <is>
          <t>Best FHSA Account Canada 2026: 11 Brokers and Robos Ranked</t>
        </is>
      </c>
      <c r="I67" s="9">
        <f>LEN(H67)</f>
        <v/>
      </c>
      <c r="J67" s="9" t="inlineStr">
        <is>
          <t>Best FHSA account Canada rankings for 2026: 11 brokers, 2 robos and FHSA savings rates. Interactive Brokers leads at 4.4 / 5. Room: $8,000 a year.</t>
        </is>
      </c>
      <c r="K67" s="9">
        <f>LEN(J67)</f>
        <v/>
      </c>
      <c r="L67" s="9" t="inlineStr">
        <is>
          <t>best fhsa account canada</t>
        </is>
      </c>
      <c r="M67" s="9" t="inlineStr">
        <is>
          <t>where to open fhsa, best fhsa investment</t>
        </is>
      </c>
      <c r="N67" s="9" t="inlineStr">
        <is>
          <t>account-listing</t>
        </is>
      </c>
      <c r="O67" s="9" t="inlineStr">
        <is>
          <t>Yes</t>
        </is>
      </c>
      <c r="P67" s="9" t="inlineStr">
        <is>
          <t>fhsa-room</t>
        </is>
      </c>
      <c r="Q67" s="11" t="n">
        <v>9498</v>
      </c>
      <c r="R67" s="9" t="inlineStr">
        <is>
          <t>pages-paste/058-compare-best-fhsa-accounts.html</t>
        </is>
      </c>
      <c r="S67" s="9" t="inlineStr">
        <is>
          <t>Not started</t>
        </is>
      </c>
      <c r="T67" s="10" t="n"/>
    </row>
    <row r="68" ht="35.05" customHeight="1" s="7">
      <c r="A68" s="9" t="n">
        <v>59</v>
      </c>
      <c r="B68" s="9" t="n">
        <v>4</v>
      </c>
      <c r="C68" s="10" t="n">
        <v>46321</v>
      </c>
      <c r="D68" s="9" t="inlineStr">
        <is>
          <t>https://wealthscale.ca/compare/best-resp-providers/</t>
        </is>
      </c>
      <c r="E68" s="9" t="inlineStr">
        <is>
          <t>/compare/</t>
        </is>
      </c>
      <c r="F68" s="9" t="inlineStr">
        <is>
          <t>Best RESP Providers in Canada</t>
        </is>
      </c>
      <c r="G68" s="9" t="inlineStr">
        <is>
          <t>Best RESP Providers in Canada</t>
        </is>
      </c>
      <c r="H68" s="9" t="inlineStr">
        <is>
          <t>Best RESP Providers Canada 2026: Brokers and Robos Ranked</t>
        </is>
      </c>
      <c r="I68" s="9">
        <f>LEN(H68)</f>
        <v/>
      </c>
      <c r="J68" s="9" t="inlineStr">
        <is>
          <t>Best RESP providers Canada 2026: 9 online brokers and 3 robo-advisors ranked on fees and family plans. Questrade and Wealthsimple lead at 4.0 / 5.</t>
        </is>
      </c>
      <c r="K68" s="9">
        <f>LEN(J68)</f>
        <v/>
      </c>
      <c r="L68" s="9" t="inlineStr">
        <is>
          <t>best resp providers canada</t>
        </is>
      </c>
      <c r="M68" s="9" t="inlineStr">
        <is>
          <t>best resp account, family resp providers</t>
        </is>
      </c>
      <c r="N68" s="9" t="inlineStr">
        <is>
          <t>account-listing</t>
        </is>
      </c>
      <c r="O68" s="9" t="inlineStr">
        <is>
          <t>Yes</t>
        </is>
      </c>
      <c r="P68" s="9" t="inlineStr">
        <is>
          <t>resp-grant</t>
        </is>
      </c>
      <c r="Q68" s="11" t="n">
        <v>10299</v>
      </c>
      <c r="R68" s="9" t="inlineStr">
        <is>
          <t>pages-paste/059-compare-best-resp-providers.html</t>
        </is>
      </c>
      <c r="S68" s="9" t="inlineStr">
        <is>
          <t>Not started</t>
        </is>
      </c>
      <c r="T68" s="10" t="n"/>
    </row>
    <row r="69" ht="35.05" customHeight="1" s="7">
      <c r="A69" s="9" t="n">
        <v>60</v>
      </c>
      <c r="B69" s="9" t="n">
        <v>4</v>
      </c>
      <c r="C69" s="10" t="n">
        <v>46321</v>
      </c>
      <c r="D69" s="9" t="inlineStr">
        <is>
          <t>https://wealthscale.ca/compare/best-brokers-for-us-stocks/</t>
        </is>
      </c>
      <c r="E69" s="9" t="inlineStr">
        <is>
          <t>/compare/</t>
        </is>
      </c>
      <c r="F69" s="9" t="inlineStr">
        <is>
          <t>Best Brokers for US Stocks in Canada</t>
        </is>
      </c>
      <c r="G69" s="9" t="inlineStr">
        <is>
          <t>Best Brokers for US Stocks in Canada</t>
        </is>
      </c>
      <c r="H69" s="9" t="inlineStr">
        <is>
          <t>Best Broker for US Stocks Canada 2026: 13 Brokers Ranked</t>
        </is>
      </c>
      <c r="I69" s="9">
        <f>LEN(H69)</f>
        <v/>
      </c>
      <c r="J69" s="9" t="inlineStr">
        <is>
          <t>Best broker for US stocks Canada 2026: Questrade and Interactive Brokers tie at 4.0 / 5. Compare FX fees from US$2, USD accounts and Norbert's Gambit.</t>
        </is>
      </c>
      <c r="K69" s="9">
        <f>LEN(J69)</f>
        <v/>
      </c>
      <c r="L69" s="9" t="inlineStr">
        <is>
          <t>best broker for us stocks canada</t>
        </is>
      </c>
      <c r="M69" s="9" t="inlineStr">
        <is>
          <t>cheapest way to buy us stocks canada, usd account broker</t>
        </is>
      </c>
      <c r="N69" s="9" t="inlineStr">
        <is>
          <t>best-of</t>
        </is>
      </c>
      <c r="O69" s="9" t="inlineStr">
        <is>
          <t>Yes</t>
        </is>
      </c>
      <c r="P69" s="9" t="inlineStr">
        <is>
          <t>fx-cost, us-withholding</t>
        </is>
      </c>
      <c r="Q69" s="11" t="n">
        <v>12813</v>
      </c>
      <c r="R69" s="9" t="inlineStr">
        <is>
          <t>pages-paste/060-compare-best-brokers-for-us-stocks.html</t>
        </is>
      </c>
      <c r="S69" s="9" t="inlineStr">
        <is>
          <t>Not started</t>
        </is>
      </c>
      <c r="T69" s="10" t="n"/>
    </row>
    <row r="70" ht="35.05" customHeight="1" s="7">
      <c r="A70" s="9" t="n">
        <v>61</v>
      </c>
      <c r="B70" s="9" t="n">
        <v>4</v>
      </c>
      <c r="C70" s="10" t="n">
        <v>46321</v>
      </c>
      <c r="D70" s="9" t="inlineStr">
        <is>
          <t>https://wealthscale.ca/compare/best-commission-free-brokers/</t>
        </is>
      </c>
      <c r="E70" s="9" t="inlineStr">
        <is>
          <t>/compare/</t>
        </is>
      </c>
      <c r="F70" s="9" t="inlineStr">
        <is>
          <t>Best Commission-Free Trading Platforms in Canada</t>
        </is>
      </c>
      <c r="G70" s="9" t="inlineStr">
        <is>
          <t>Best Commission-Free Trading Platforms in Canada</t>
        </is>
      </c>
      <c r="H70" s="9" t="inlineStr">
        <is>
          <t>Commission Free Trading Canada 2026: 7 Brokers Ranked</t>
        </is>
      </c>
      <c r="I70" s="9">
        <f>LEN(H70)</f>
        <v/>
      </c>
      <c r="J70" s="9" t="inlineStr">
        <is>
          <t>Commission free trading Canada guide for 2026: 7 brokers charge $0 on stocks and ETFs. Questrade leads at 4.0 / 5. Every fee left, from FX to transfers.</t>
        </is>
      </c>
      <c r="K70" s="9">
        <f>LEN(J70)</f>
        <v/>
      </c>
      <c r="L70" s="9" t="inlineStr">
        <is>
          <t>commission free trading canada</t>
        </is>
      </c>
      <c r="M70" s="9" t="inlineStr">
        <is>
          <t>zero commission broker canada, free stock trading canada</t>
        </is>
      </c>
      <c r="N70" s="9" t="inlineStr">
        <is>
          <t>best-of</t>
        </is>
      </c>
      <c r="O70" s="9" t="inlineStr">
        <is>
          <t>Yes</t>
        </is>
      </c>
      <c r="P70" s="9" t="inlineStr">
        <is>
          <t>broker-cost</t>
        </is>
      </c>
      <c r="Q70" s="11" t="n">
        <v>9888</v>
      </c>
      <c r="R70" s="9" t="inlineStr">
        <is>
          <t>pages-paste/061-compare-best-commission-free-brokers.html</t>
        </is>
      </c>
      <c r="S70" s="9" t="inlineStr">
        <is>
          <t>Not started</t>
        </is>
      </c>
      <c r="T70" s="10" t="n"/>
    </row>
    <row r="71" ht="35.05" customHeight="1" s="7">
      <c r="A71" s="9" t="n">
        <v>62</v>
      </c>
      <c r="B71" s="9" t="n">
        <v>4</v>
      </c>
      <c r="C71" s="10" t="n">
        <v>46321</v>
      </c>
      <c r="D71" s="9" t="inlineStr">
        <is>
          <t>https://wealthscale.ca/compare/best-crypto-platforms/</t>
        </is>
      </c>
      <c r="E71" s="9" t="inlineStr">
        <is>
          <t>/compare/</t>
        </is>
      </c>
      <c r="F71" s="9" t="inlineStr">
        <is>
          <t>Best Crypto Exchanges and Platforms in Canada</t>
        </is>
      </c>
      <c r="G71" s="9" t="inlineStr">
        <is>
          <t>Best Crypto Exchanges and Platforms in Canada</t>
        </is>
      </c>
      <c r="H71" s="9" t="inlineStr">
        <is>
          <t>Best Crypto Exchange Canada 2026: 9 CSA-Authorized Ranked</t>
        </is>
      </c>
      <c r="I71" s="9">
        <f>LEN(H71)</f>
        <v/>
      </c>
      <c r="J71" s="9" t="inlineStr">
        <is>
          <t>Best crypto exchange Canada 2026: nine CSA-authorized platforms ranked on fees, coins and safety. NDAX charges 0.20%; Wealthsimple leads at 4.6 / 5.</t>
        </is>
      </c>
      <c r="K71" s="9">
        <f>LEN(J71)</f>
        <v/>
      </c>
      <c r="L71" s="9" t="inlineStr">
        <is>
          <t>best crypto exchange canada</t>
        </is>
      </c>
      <c r="M71" s="9" t="inlineStr">
        <is>
          <t>crypto platforms canada, csa registered crypto exchange</t>
        </is>
      </c>
      <c r="N71" s="9" t="inlineStr">
        <is>
          <t>best-of</t>
        </is>
      </c>
      <c r="O71" s="9" t="inlineStr">
        <is>
          <t>Yes</t>
        </is>
      </c>
      <c r="P71" s="9" t="inlineStr">
        <is>
          <t>crypto-fee</t>
        </is>
      </c>
      <c r="Q71" s="11" t="n">
        <v>10333</v>
      </c>
      <c r="R71" s="9" t="inlineStr">
        <is>
          <t>pages-paste/062-compare-best-crypto-platforms.html</t>
        </is>
      </c>
      <c r="S71" s="9" t="inlineStr">
        <is>
          <t>Not started</t>
        </is>
      </c>
      <c r="T71" s="10" t="n"/>
    </row>
    <row r="72" ht="35.05" customHeight="1" s="7">
      <c r="A72" s="9" t="n">
        <v>63</v>
      </c>
      <c r="B72" s="9" t="n">
        <v>4</v>
      </c>
      <c r="C72" s="10" t="n">
        <v>46321</v>
      </c>
      <c r="D72" s="9" t="inlineStr">
        <is>
          <t>https://wealthscale.ca/compare/best-brokers-for-beginners/</t>
        </is>
      </c>
      <c r="E72" s="9" t="inlineStr">
        <is>
          <t>/compare/</t>
        </is>
      </c>
      <c r="F72" s="9" t="inlineStr">
        <is>
          <t>Best Online Brokers for Beginners in Canada</t>
        </is>
      </c>
      <c r="G72" s="9" t="inlineStr">
        <is>
          <t>Best Online Brokers for Beginners in Canada</t>
        </is>
      </c>
      <c r="H72" s="9" t="inlineStr">
        <is>
          <t>Best Brokerage for Beginners Canada 2026: 13 Brokers Ranked</t>
        </is>
      </c>
      <c r="I72" s="9">
        <f>LEN(H72)</f>
        <v/>
      </c>
      <c r="J72" s="9" t="inlineStr">
        <is>
          <t>Best brokerage for beginners Canada ranking for 2026: Wealthsimple leads at 4.5 / 5 with no minimum and fractional shares from $1. 13 brokers scored.</t>
        </is>
      </c>
      <c r="K72" s="9">
        <f>LEN(J72)</f>
        <v/>
      </c>
      <c r="L72" s="9" t="inlineStr">
        <is>
          <t>best brokerage for beginners canada</t>
        </is>
      </c>
      <c r="M72" s="9" t="inlineStr">
        <is>
          <t>easiest investing platform canada, beginner investing app</t>
        </is>
      </c>
      <c r="N72" s="9" t="inlineStr">
        <is>
          <t>best-of</t>
        </is>
      </c>
      <c r="O72" s="9" t="inlineStr">
        <is>
          <t>Yes</t>
        </is>
      </c>
      <c r="P72" s="9" t="inlineStr">
        <is>
          <t>broker-match, compound-interest</t>
        </is>
      </c>
      <c r="Q72" s="11" t="n">
        <v>11075</v>
      </c>
      <c r="R72" s="9" t="inlineStr">
        <is>
          <t>pages-paste/063-compare-best-brokers-for-beginners.html</t>
        </is>
      </c>
      <c r="S72" s="9" t="inlineStr">
        <is>
          <t>Not started</t>
        </is>
      </c>
      <c r="T72" s="10" t="n"/>
    </row>
    <row r="73" ht="35.05" customHeight="1" s="7">
      <c r="A73" s="9" t="n">
        <v>64</v>
      </c>
      <c r="B73" s="9" t="n">
        <v>4</v>
      </c>
      <c r="C73" s="10" t="n">
        <v>46321</v>
      </c>
      <c r="D73" s="9" t="inlineStr">
        <is>
          <t>https://wealthscale.ca/compare/best-brokers-low-fx-fees/</t>
        </is>
      </c>
      <c r="E73" s="9" t="inlineStr">
        <is>
          <t>/compare/</t>
        </is>
      </c>
      <c r="F73" s="9" t="inlineStr">
        <is>
          <t>Brokers With the Lowest Currency Conversion Fees</t>
        </is>
      </c>
      <c r="G73" s="9" t="inlineStr">
        <is>
          <t>Brokers With the Lowest Currency Conversion Fees</t>
        </is>
      </c>
      <c r="H73" s="9" t="inlineStr">
        <is>
          <t>Lowest FX Fee Broker Canada 2026: Conversion Costs Ranked</t>
        </is>
      </c>
      <c r="I73" s="9">
        <f>LEN(H73)</f>
        <v/>
      </c>
      <c r="J73" s="9" t="inlineStr">
        <is>
          <t>Lowest FX fee broker Canada 2026: Interactive Brokers converts $10,000 for US$2. TD costs $126 and 1.5% brokers $150. Costs at four amounts compared.</t>
        </is>
      </c>
      <c r="K73" s="9">
        <f>LEN(J73)</f>
        <v/>
      </c>
      <c r="L73" s="9" t="inlineStr">
        <is>
          <t>lowest fx fee broker canada</t>
        </is>
      </c>
      <c r="M73" s="9" t="inlineStr">
        <is>
          <t>broker currency conversion fees, cheapest usd conversion canada</t>
        </is>
      </c>
      <c r="N73" s="9" t="inlineStr">
        <is>
          <t>best-of</t>
        </is>
      </c>
      <c r="O73" s="9" t="inlineStr">
        <is>
          <t>Yes</t>
        </is>
      </c>
      <c r="P73" s="9" t="inlineStr">
        <is>
          <t>fx-cost, norberts-gambit</t>
        </is>
      </c>
      <c r="Q73" s="11" t="n">
        <v>9752</v>
      </c>
      <c r="R73" s="9" t="inlineStr">
        <is>
          <t>pages-paste/064-compare-best-brokers-low-fx-fees.html</t>
        </is>
      </c>
      <c r="S73" s="9" t="inlineStr">
        <is>
          <t>Not started</t>
        </is>
      </c>
      <c r="T73" s="10" t="n"/>
    </row>
    <row r="74" ht="35.05" customHeight="1" s="7">
      <c r="A74" s="9" t="n">
        <v>65</v>
      </c>
      <c r="B74" s="9" t="n">
        <v>4</v>
      </c>
      <c r="C74" s="10" t="n">
        <v>46321</v>
      </c>
      <c r="D74" s="9" t="inlineStr">
        <is>
          <t>https://wealthscale.ca/compare/best-options-trading-platforms/</t>
        </is>
      </c>
      <c r="E74" s="9" t="inlineStr">
        <is>
          <t>/compare/</t>
        </is>
      </c>
      <c r="F74" s="9" t="inlineStr">
        <is>
          <t>Best Options Trading Platforms in Canada</t>
        </is>
      </c>
      <c r="G74" s="9" t="inlineStr">
        <is>
          <t>Best Options Trading Platforms in Canada</t>
        </is>
      </c>
      <c r="H74" s="9" t="inlineStr">
        <is>
          <t>Best Options Trading Platform Canada 2026: 13 Ranked</t>
        </is>
      </c>
      <c r="I74" s="9">
        <f>LEN(H74)</f>
        <v/>
      </c>
      <c r="J74" s="9" t="inlineStr">
        <is>
          <t>Best options trading platform Canada 2026: 13 brokers ranked. Interactive Brokers leads at 4.6 / 5; Wealthsimple charges $0 a contract on equity options.</t>
        </is>
      </c>
      <c r="K74" s="9">
        <f>LEN(J74)</f>
        <v/>
      </c>
      <c r="L74" s="9" t="inlineStr">
        <is>
          <t>best options trading platform canada</t>
        </is>
      </c>
      <c r="M74" s="9" t="inlineStr">
        <is>
          <t>options trading canada fees, cheapest options broker canada</t>
        </is>
      </c>
      <c r="N74" s="9" t="inlineStr">
        <is>
          <t>best-of</t>
        </is>
      </c>
      <c r="O74" s="9" t="inlineStr">
        <is>
          <t>Yes</t>
        </is>
      </c>
      <c r="P74" s="9" t="inlineStr">
        <is>
          <t>options-cost</t>
        </is>
      </c>
      <c r="Q74" s="11" t="n">
        <v>12024</v>
      </c>
      <c r="R74" s="9" t="inlineStr">
        <is>
          <t>pages-paste/065-compare-best-options-trading-platforms.html</t>
        </is>
      </c>
      <c r="S74" s="9" t="inlineStr">
        <is>
          <t>Not started</t>
        </is>
      </c>
      <c r="T74" s="10" t="n"/>
    </row>
    <row r="75" ht="35.05" customHeight="1" s="7">
      <c r="A75" s="9" t="n">
        <v>66</v>
      </c>
      <c r="B75" s="9" t="n">
        <v>4</v>
      </c>
      <c r="C75" s="10" t="n">
        <v>46321</v>
      </c>
      <c r="D75" s="9" t="inlineStr">
        <is>
          <t>https://wealthscale.ca/compare/best-margin-accounts/</t>
        </is>
      </c>
      <c r="E75" s="9" t="inlineStr">
        <is>
          <t>/compare/</t>
        </is>
      </c>
      <c r="F75" s="9" t="inlineStr">
        <is>
          <t>Lowest Margin Rates in Canada</t>
        </is>
      </c>
      <c r="G75" s="9" t="inlineStr">
        <is>
          <t>Lowest Margin Rates in Canada</t>
        </is>
      </c>
      <c r="H75" s="9" t="inlineStr">
        <is>
          <t>Margin Rates Canada 2026: 13 Brokers Sorted Lowest First</t>
        </is>
      </c>
      <c r="I75" s="9">
        <f>LEN(H75)</f>
        <v/>
      </c>
      <c r="J75" s="9" t="inlineStr">
        <is>
          <t>Margin rates Canada 2026: 13 brokers sorted by CAD rate. Interactive Brokers is lowest at 3.675%, so $10,000 borrowed for a year costs $367.50 in interest.</t>
        </is>
      </c>
      <c r="K75" s="9">
        <f>LEN(J75)</f>
        <v/>
      </c>
      <c r="L75" s="9" t="inlineStr">
        <is>
          <t>margin rates canada</t>
        </is>
      </c>
      <c r="M75" s="9" t="inlineStr">
        <is>
          <t>margin account canada, lowest margin interest rate canada</t>
        </is>
      </c>
      <c r="N75" s="9" t="inlineStr">
        <is>
          <t>best-of</t>
        </is>
      </c>
      <c r="O75" s="9" t="inlineStr">
        <is>
          <t>Yes</t>
        </is>
      </c>
      <c r="P75" s="9" t="inlineStr">
        <is>
          <t>margin-interest</t>
        </is>
      </c>
      <c r="Q75" s="11" t="n">
        <v>9915</v>
      </c>
      <c r="R75" s="9" t="inlineStr">
        <is>
          <t>pages-paste/066-compare-best-margin-accounts.html</t>
        </is>
      </c>
      <c r="S75" s="9" t="inlineStr">
        <is>
          <t>Not started</t>
        </is>
      </c>
      <c r="T75" s="10" t="n"/>
    </row>
    <row r="76" ht="35.05" customHeight="1" s="7">
      <c r="A76" s="9" t="n">
        <v>67</v>
      </c>
      <c r="B76" s="9" t="n">
        <v>4</v>
      </c>
      <c r="C76" s="10" t="n">
        <v>46321</v>
      </c>
      <c r="D76" s="9" t="inlineStr">
        <is>
          <t>https://wealthscale.ca/compare/best-tax-software/</t>
        </is>
      </c>
      <c r="E76" s="9" t="inlineStr">
        <is>
          <t>/compare/</t>
        </is>
      </c>
      <c r="F76" s="9" t="inlineStr">
        <is>
          <t>Best Tax Software in Canada</t>
        </is>
      </c>
      <c r="G76" s="9" t="inlineStr">
        <is>
          <t>Best Tax Software in Canada</t>
        </is>
      </c>
      <c r="H76" s="9" t="inlineStr">
        <is>
          <t>Best Tax Software Canada 2026: 7 NETFILE Products Ranked</t>
        </is>
      </c>
      <c r="I76" s="9">
        <f>LEN(H76)</f>
        <v/>
      </c>
      <c r="J76" s="9" t="inlineStr">
        <is>
          <t>Best tax software Canada 2026: 7 NETFILE-certified products ranked. Wealthsimple Tax leads at 4.8 / 5, with a Basic tier from $0 for up to 2 returns.</t>
        </is>
      </c>
      <c r="K76" s="9">
        <f>LEN(J76)</f>
        <v/>
      </c>
      <c r="L76" s="9" t="inlineStr">
        <is>
          <t>best tax software canada</t>
        </is>
      </c>
      <c r="M76" s="9" t="inlineStr">
        <is>
          <t>free tax software canada, netfile software</t>
        </is>
      </c>
      <c r="N76" s="9" t="inlineStr">
        <is>
          <t>best-of</t>
        </is>
      </c>
      <c r="O76" s="9" t="inlineStr">
        <is>
          <t>No</t>
        </is>
      </c>
      <c r="P76" s="9" t="inlineStr">
        <is>
          <t>tax-software-picker</t>
        </is>
      </c>
      <c r="Q76" s="11" t="n">
        <v>8945</v>
      </c>
      <c r="R76" s="9" t="inlineStr">
        <is>
          <t>pages-paste/067-compare-best-tax-software.html</t>
        </is>
      </c>
      <c r="S76" s="9" t="inlineStr">
        <is>
          <t>Not started</t>
        </is>
      </c>
      <c r="T76" s="10" t="n"/>
    </row>
    <row r="77" ht="35.05" customHeight="1" s="7">
      <c r="A77" s="9" t="n">
        <v>68</v>
      </c>
      <c r="B77" s="9" t="n">
        <v>4</v>
      </c>
      <c r="C77" s="10" t="n">
        <v>46321</v>
      </c>
      <c r="D77" s="9" t="inlineStr">
        <is>
          <t>https://wealthscale.ca/compare/best-tfsa-for-us-stocks/</t>
        </is>
      </c>
      <c r="E77" s="9" t="inlineStr">
        <is>
          <t>/compare/</t>
        </is>
      </c>
      <c r="F77" s="9" t="inlineStr">
        <is>
          <t>Best TFSA Accounts for US Stocks</t>
        </is>
      </c>
      <c r="G77" s="9" t="inlineStr">
        <is>
          <t>Best TFSA Accounts for US Stocks</t>
        </is>
      </c>
      <c r="H77" s="9" t="inlineStr">
        <is>
          <t>Best TFSA Account for US Stocks: 13 Brokers and USD Costs</t>
        </is>
      </c>
      <c r="I77" s="9">
        <f>LEN(H77)</f>
        <v/>
      </c>
      <c r="J77" s="9" t="inlineStr">
        <is>
          <t>Best TFSA account for US stocks, ranked: Questrade leads at 4.0 / 5 with USD at no extra cost. A TFSA still loses 15% of US dividends. Compare FX costs.</t>
        </is>
      </c>
      <c r="K77" s="9">
        <f>LEN(J77)</f>
        <v/>
      </c>
      <c r="L77" s="9" t="inlineStr">
        <is>
          <t>best tfsa account for us stocks</t>
        </is>
      </c>
      <c r="M77" s="9" t="inlineStr">
        <is>
          <t>usd tfsa account, us stocks tfsa canada</t>
        </is>
      </c>
      <c r="N77" s="9" t="inlineStr">
        <is>
          <t>account-listing</t>
        </is>
      </c>
      <c r="O77" s="9" t="inlineStr">
        <is>
          <t>Yes</t>
        </is>
      </c>
      <c r="P77" s="9" t="inlineStr">
        <is>
          <t>us-withholding, fx-cost</t>
        </is>
      </c>
      <c r="Q77" s="11" t="n">
        <v>10253</v>
      </c>
      <c r="R77" s="9" t="inlineStr">
        <is>
          <t>pages-paste/068-compare-best-tfsa-for-us-stocks.html</t>
        </is>
      </c>
      <c r="S77" s="9" t="inlineStr">
        <is>
          <t>Not started</t>
        </is>
      </c>
      <c r="T77" s="10" t="n"/>
    </row>
    <row r="78" ht="35.05" customHeight="1" s="7">
      <c r="A78" s="9" t="n">
        <v>69</v>
      </c>
      <c r="B78" s="9" t="n">
        <v>4</v>
      </c>
      <c r="C78" s="10" t="n">
        <v>46321</v>
      </c>
      <c r="D78" s="9" t="inlineStr">
        <is>
          <t>https://wealthscale.ca/compare/best-rrsp-for-us-stocks/</t>
        </is>
      </c>
      <c r="E78" s="9" t="inlineStr">
        <is>
          <t>/compare/</t>
        </is>
      </c>
      <c r="F78" s="9" t="inlineStr">
        <is>
          <t>Best RRSP Accounts for US Stocks</t>
        </is>
      </c>
      <c r="G78" s="9" t="inlineStr">
        <is>
          <t>Best RRSP Accounts for US Stocks</t>
        </is>
      </c>
      <c r="H78" s="9" t="inlineStr">
        <is>
          <t>Best RRSP for US Stocks: 13 Brokers Ranked for USD and Tax</t>
        </is>
      </c>
      <c r="I78" s="9">
        <f>LEN(H78)</f>
        <v/>
      </c>
      <c r="J78" s="9" t="inlineStr">
        <is>
          <t>Best RRSP for US stocks, ranked: Questrade leads at 4.0 / 5 with USD at no extra cost. US-listed holdings in an RRSP avoid the 15% US dividend tax.</t>
        </is>
      </c>
      <c r="K78" s="9">
        <f>LEN(J78)</f>
        <v/>
      </c>
      <c r="L78" s="9" t="inlineStr">
        <is>
          <t>best rrsp for us stocks</t>
        </is>
      </c>
      <c r="M78" s="9" t="inlineStr">
        <is>
          <t>usd rrsp account, us dividends rrsp</t>
        </is>
      </c>
      <c r="N78" s="9" t="inlineStr">
        <is>
          <t>account-listing</t>
        </is>
      </c>
      <c r="O78" s="9" t="inlineStr">
        <is>
          <t>Yes</t>
        </is>
      </c>
      <c r="P78" s="9" t="inlineStr">
        <is>
          <t>us-withholding, fx-cost</t>
        </is>
      </c>
      <c r="Q78" s="11" t="n">
        <v>10483</v>
      </c>
      <c r="R78" s="9" t="inlineStr">
        <is>
          <t>pages-paste/069-compare-best-rrsp-for-us-stocks.html</t>
        </is>
      </c>
      <c r="S78" s="9" t="inlineStr">
        <is>
          <t>Not started</t>
        </is>
      </c>
      <c r="T78" s="10" t="n"/>
    </row>
    <row r="79" ht="35.05" customHeight="1" s="7">
      <c r="A79" s="9" t="n">
        <v>70</v>
      </c>
      <c r="B79" s="9" t="n">
        <v>4</v>
      </c>
      <c r="C79" s="10" t="n">
        <v>46321</v>
      </c>
      <c r="D79" s="9" t="inlineStr">
        <is>
          <t>https://wealthscale.ca/compare/best-self-directed-resp/</t>
        </is>
      </c>
      <c r="E79" s="9" t="inlineStr">
        <is>
          <t>/compare/</t>
        </is>
      </c>
      <c r="F79" s="9" t="inlineStr">
        <is>
          <t>Best Self-Directed RESP Accounts</t>
        </is>
      </c>
      <c r="G79" s="9" t="inlineStr">
        <is>
          <t>Best Self-Directed RESP Accounts</t>
        </is>
      </c>
      <c r="H79" s="9" t="inlineStr">
        <is>
          <t>Best Self Directed RESP Account in Canada: 9 Brokers Ranked</t>
        </is>
      </c>
      <c r="I79" s="9">
        <f>LEN(H79)</f>
        <v/>
      </c>
      <c r="J79" s="9" t="inlineStr">
        <is>
          <t>Best self directed RESP account rankings: 9 brokers scored on fees, family plans and grants. Questrade leads at 4.0 / 5; five charge no RESP account fee.</t>
        </is>
      </c>
      <c r="K79" s="9">
        <f>LEN(J79)</f>
        <v/>
      </c>
      <c r="L79" s="9" t="inlineStr">
        <is>
          <t>best self directed resp account</t>
        </is>
      </c>
      <c r="M79" s="9" t="inlineStr">
        <is>
          <t>self directed resp canada, family resp online broker</t>
        </is>
      </c>
      <c r="N79" s="9" t="inlineStr">
        <is>
          <t>account-listing</t>
        </is>
      </c>
      <c r="O79" s="9" t="inlineStr">
        <is>
          <t>Yes</t>
        </is>
      </c>
      <c r="P79" s="9" t="inlineStr">
        <is>
          <t>resp-grant</t>
        </is>
      </c>
      <c r="Q79" s="11" t="n">
        <v>8598</v>
      </c>
      <c r="R79" s="9" t="inlineStr">
        <is>
          <t>pages-paste/070-compare-best-self-directed-resp.html</t>
        </is>
      </c>
      <c r="S79" s="9" t="inlineStr">
        <is>
          <t>Not started</t>
        </is>
      </c>
      <c r="T79" s="10" t="n"/>
    </row>
    <row r="80" ht="35.05" customHeight="1" s="7">
      <c r="A80" s="9" t="n">
        <v>71</v>
      </c>
      <c r="B80" s="9" t="n">
        <v>4</v>
      </c>
      <c r="C80" s="10" t="n">
        <v>46321</v>
      </c>
      <c r="D80" s="9" t="inlineStr">
        <is>
          <t>https://wealthscale.ca/compare/best-rrif-accounts/</t>
        </is>
      </c>
      <c r="E80" s="9" t="inlineStr">
        <is>
          <t>/compare/</t>
        </is>
      </c>
      <c r="F80" s="9" t="inlineStr">
        <is>
          <t>Best RRIF Accounts in Canada</t>
        </is>
      </c>
      <c r="G80" s="9" t="inlineStr">
        <is>
          <t>Best RRIF Accounts in Canada</t>
        </is>
      </c>
      <c r="H80" s="9" t="inlineStr">
        <is>
          <t>Best RRIF Account in Canada: 10 Brokers Ranked by Score</t>
        </is>
      </c>
      <c r="I80" s="9">
        <f>LEN(H80)</f>
        <v/>
      </c>
      <c r="J80" s="9" t="inlineStr">
        <is>
          <t>Best RRIF account rankings for Canada: 10 brokers scored on fees, USD and withdrawals. Interactive Brokers leads at 4.4 / 5; the age 72 minimum is 5.40%.</t>
        </is>
      </c>
      <c r="K80" s="9">
        <f>LEN(J80)</f>
        <v/>
      </c>
      <c r="L80" s="9" t="inlineStr">
        <is>
          <t>best rrif account</t>
        </is>
      </c>
      <c r="M80" s="9" t="inlineStr">
        <is>
          <t>self directed rrif, rrif providers canada</t>
        </is>
      </c>
      <c r="N80" s="9" t="inlineStr">
        <is>
          <t>account-listing</t>
        </is>
      </c>
      <c r="O80" s="9" t="inlineStr">
        <is>
          <t>Yes</t>
        </is>
      </c>
      <c r="P80" s="9" t="inlineStr">
        <is>
          <t>rrif-minimum</t>
        </is>
      </c>
      <c r="Q80" s="11" t="n">
        <v>8989</v>
      </c>
      <c r="R80" s="9" t="inlineStr">
        <is>
          <t>pages-paste/071-compare-best-rrif-accounts.html</t>
        </is>
      </c>
      <c r="S80" s="9" t="inlineStr">
        <is>
          <t>Not started</t>
        </is>
      </c>
      <c r="T80" s="10" t="n"/>
    </row>
    <row r="81" ht="35.05" customHeight="1" s="7">
      <c r="A81" s="9" t="n">
        <v>72</v>
      </c>
      <c r="B81" s="9" t="n">
        <v>4</v>
      </c>
      <c r="C81" s="10" t="n">
        <v>46321</v>
      </c>
      <c r="D81" s="9" t="inlineStr">
        <is>
          <t>https://wealthscale.ca/compare/best-lira-accounts/</t>
        </is>
      </c>
      <c r="E81" s="9" t="inlineStr">
        <is>
          <t>/compare/</t>
        </is>
      </c>
      <c r="F81" s="9" t="inlineStr">
        <is>
          <t>Best LIRA Accounts in Canada</t>
        </is>
      </c>
      <c r="G81" s="9" t="inlineStr">
        <is>
          <t>Best LIRA Accounts in Canada</t>
        </is>
      </c>
      <c r="H81" s="9" t="inlineStr">
        <is>
          <t>Best LIRA Account in Canada: 9 Brokers for LIRAs and LIFs</t>
        </is>
      </c>
      <c r="I81" s="9">
        <f>LEN(H81)</f>
        <v/>
      </c>
      <c r="J81" s="9" t="inlineStr">
        <is>
          <t>Best LIRA account rankings: 9 brokers that hold LIRAs and LIFs, scored on fees and features. Questrade leads at 4.0 / 5; watch $100 small-balance fees.</t>
        </is>
      </c>
      <c r="K81" s="9">
        <f>LEN(J81)</f>
        <v/>
      </c>
      <c r="L81" s="9" t="inlineStr">
        <is>
          <t>best lira account</t>
        </is>
      </c>
      <c r="M81" s="9" t="inlineStr">
        <is>
          <t>self directed lira, lira to lif</t>
        </is>
      </c>
      <c r="N81" s="9" t="inlineStr">
        <is>
          <t>account-listing</t>
        </is>
      </c>
      <c r="O81" s="9" t="inlineStr">
        <is>
          <t>Yes</t>
        </is>
      </c>
      <c r="P81" s="9" t="inlineStr">
        <is>
          <t>rrif-minimum</t>
        </is>
      </c>
      <c r="Q81" s="11" t="n">
        <v>8008</v>
      </c>
      <c r="R81" s="9" t="inlineStr">
        <is>
          <t>pages-paste/072-compare-best-lira-accounts.html</t>
        </is>
      </c>
      <c r="S81" s="9" t="inlineStr">
        <is>
          <t>Not started</t>
        </is>
      </c>
      <c r="T81" s="10" t="n"/>
    </row>
    <row r="82" ht="35.05" customHeight="1" s="7">
      <c r="A82" s="9" t="n">
        <v>7</v>
      </c>
      <c r="B82" s="9" t="n">
        <v>5</v>
      </c>
      <c r="C82" s="10" t="n">
        <v>46322</v>
      </c>
      <c r="D82" s="9" t="inlineStr">
        <is>
          <t>https://wealthscale.ca/privacy-policy/</t>
        </is>
      </c>
      <c r="E82" s="9" t="inlineStr">
        <is>
          <t>(none)</t>
        </is>
      </c>
      <c r="F82" s="9" t="inlineStr">
        <is>
          <t>Privacy Policy</t>
        </is>
      </c>
      <c r="G82" s="9" t="inlineStr">
        <is>
          <t>Privacy Policy</t>
        </is>
      </c>
      <c r="H82" s="9" t="inlineStr">
        <is>
          <t>WealthScale Privacy Policy: How We Handle Your Information</t>
        </is>
      </c>
      <c r="I82" s="9">
        <f>LEN(H82)</f>
        <v/>
      </c>
      <c r="J82" s="9" t="inlineStr">
        <is>
          <t>WealthScale privacy policy: what WealthScale Media Inc. collects, why, and your rights. Calculator inputs stay in your browser and are not sent to us.</t>
        </is>
      </c>
      <c r="K82" s="9">
        <f>LEN(J82)</f>
        <v/>
      </c>
      <c r="L82" s="9" t="inlineStr">
        <is>
          <t>wealthscale privacy policy</t>
        </is>
      </c>
      <c r="M82" s="9" t="inlineStr">
        <is>
          <t>wealthscale privacy, personal information, cookies</t>
        </is>
      </c>
      <c r="N82" s="9" t="inlineStr">
        <is>
          <t>legal</t>
        </is>
      </c>
      <c r="O82" s="9" t="inlineStr">
        <is>
          <t>No</t>
        </is>
      </c>
      <c r="P82" s="9" t="n"/>
      <c r="Q82" s="11" t="n">
        <v>2465</v>
      </c>
      <c r="R82" s="9" t="inlineStr">
        <is>
          <t>pages-paste/007-privacy-policy.html</t>
        </is>
      </c>
      <c r="S82" s="9" t="inlineStr">
        <is>
          <t>Not started</t>
        </is>
      </c>
      <c r="T82" s="10" t="n"/>
    </row>
    <row r="83" ht="35.05" customHeight="1" s="7">
      <c r="A83" s="9" t="n">
        <v>8</v>
      </c>
      <c r="B83" s="9" t="n">
        <v>5</v>
      </c>
      <c r="C83" s="10" t="n">
        <v>46322</v>
      </c>
      <c r="D83" s="9" t="inlineStr">
        <is>
          <t>https://wealthscale.ca/terms-of-use/</t>
        </is>
      </c>
      <c r="E83" s="9" t="inlineStr">
        <is>
          <t>(none)</t>
        </is>
      </c>
      <c r="F83" s="9" t="inlineStr">
        <is>
          <t>Terms of Use and Disclaimer</t>
        </is>
      </c>
      <c r="G83" s="9" t="inlineStr">
        <is>
          <t>Terms of Use and Disclaimer</t>
        </is>
      </c>
      <c r="H83" s="9" t="inlineStr">
        <is>
          <t>WealthScale Terms of Use and Disclaimer for Readers</t>
        </is>
      </c>
      <c r="I83" s="9">
        <f>LEN(H83)</f>
        <v/>
      </c>
      <c r="J83" s="9" t="inlineStr">
        <is>
          <t>WealthScale terms of use and disclaimer: general information only, not financial, tax or legal advice. Calculators give estimates and rates can change.</t>
        </is>
      </c>
      <c r="K83" s="9">
        <f>LEN(J83)</f>
        <v/>
      </c>
      <c r="L83" s="9" t="inlineStr">
        <is>
          <t>wealthscale terms of use</t>
        </is>
      </c>
      <c r="M83" s="9" t="inlineStr">
        <is>
          <t>wealthscale disclaimer, terms and conditions</t>
        </is>
      </c>
      <c r="N83" s="9" t="inlineStr">
        <is>
          <t>legal</t>
        </is>
      </c>
      <c r="O83" s="9" t="inlineStr">
        <is>
          <t>No</t>
        </is>
      </c>
      <c r="P83" s="9" t="n"/>
      <c r="Q83" s="11" t="n">
        <v>2135</v>
      </c>
      <c r="R83" s="9" t="inlineStr">
        <is>
          <t>pages-paste/008-terms-of-use.html</t>
        </is>
      </c>
      <c r="S83" s="9" t="inlineStr">
        <is>
          <t>Not started</t>
        </is>
      </c>
      <c r="T83" s="10" t="n"/>
    </row>
    <row r="84" ht="35.05" customHeight="1" s="7">
      <c r="A84" s="9" t="n">
        <v>73</v>
      </c>
      <c r="B84" s="9" t="n">
        <v>5</v>
      </c>
      <c r="C84" s="10" t="n">
        <v>46322</v>
      </c>
      <c r="D84" s="9" t="inlineStr">
        <is>
          <t>https://wealthscale.ca/banking/best-chequing-accounts/</t>
        </is>
      </c>
      <c r="E84" s="9" t="inlineStr">
        <is>
          <t>/banking/</t>
        </is>
      </c>
      <c r="F84" s="9" t="inlineStr">
        <is>
          <t>Best Chequing Accounts in Canada</t>
        </is>
      </c>
      <c r="G84" s="9" t="inlineStr">
        <is>
          <t>Best Chequing Accounts in Canada</t>
        </is>
      </c>
      <c r="H84" s="9" t="inlineStr">
        <is>
          <t>Best Chequing Account Canada 2026: 20 Accounts Ranked</t>
        </is>
      </c>
      <c r="I84" s="9">
        <f>LEN(H84)</f>
        <v/>
      </c>
      <c r="J84" s="9" t="inlineStr">
        <is>
          <t>Best chequing account Canada rankings for 2026: 20 accounts scored on fees, interest, ATMs and CDIC. EQ Bank leads at 4.6 / 5 with 2.75% on direct deposit.</t>
        </is>
      </c>
      <c r="K84" s="9">
        <f>LEN(J84)</f>
        <v/>
      </c>
      <c r="L84" s="9" t="inlineStr">
        <is>
          <t>best chequing account canada</t>
        </is>
      </c>
      <c r="M84" s="9" t="inlineStr">
        <is>
          <t>chequing account canada, best bank account canada, high interest chequing</t>
        </is>
      </c>
      <c r="N84" s="9" t="inlineStr">
        <is>
          <t>best-of</t>
        </is>
      </c>
      <c r="O84" s="9" t="inlineStr">
        <is>
          <t>Yes</t>
        </is>
      </c>
      <c r="P84" s="9" t="inlineStr">
        <is>
          <t>chequing-cost</t>
        </is>
      </c>
      <c r="Q84" s="11" t="n">
        <v>12450</v>
      </c>
      <c r="R84" s="9" t="inlineStr">
        <is>
          <t>pages-paste/073-banking-best-chequing-accounts.html</t>
        </is>
      </c>
      <c r="S84" s="9" t="inlineStr">
        <is>
          <t>Not started</t>
        </is>
      </c>
      <c r="T84" s="10" t="n"/>
    </row>
    <row r="85" ht="35.05" customHeight="1" s="7">
      <c r="A85" s="9" t="n">
        <v>74</v>
      </c>
      <c r="B85" s="9" t="n">
        <v>5</v>
      </c>
      <c r="C85" s="10" t="n">
        <v>46322</v>
      </c>
      <c r="D85" s="9" t="inlineStr">
        <is>
          <t>https://wealthscale.ca/banking/best-no-fee-chequing-accounts/</t>
        </is>
      </c>
      <c r="E85" s="9" t="inlineStr">
        <is>
          <t>/banking/</t>
        </is>
      </c>
      <c r="F85" s="9" t="inlineStr">
        <is>
          <t>Best No-Fee Chequing Accounts in Canada</t>
        </is>
      </c>
      <c r="G85" s="9" t="inlineStr">
        <is>
          <t>Best No-Fee Chequing Accounts in Canada</t>
        </is>
      </c>
      <c r="H85" s="9" t="inlineStr">
        <is>
          <t>No Fee Chequing Account Canada 2026: The 8 Best Ranked</t>
        </is>
      </c>
      <c r="I85" s="9">
        <f>LEN(H85)</f>
        <v/>
      </c>
      <c r="J85" s="9" t="inlineStr">
        <is>
          <t>No fee chequing account rankings for 2026: 8 accounts with a $0 monthly fee, scored. EQ Bank leads at 4.6 / 5 and pays 2.75% with pay direct deposit.</t>
        </is>
      </c>
      <c r="K85" s="9">
        <f>LEN(J85)</f>
        <v/>
      </c>
      <c r="L85" s="9" t="inlineStr">
        <is>
          <t>no fee chequing account</t>
        </is>
      </c>
      <c r="M85" s="9" t="inlineStr">
        <is>
          <t>free chequing account canada, no monthly fee bank account</t>
        </is>
      </c>
      <c r="N85" s="9" t="inlineStr">
        <is>
          <t>best-of</t>
        </is>
      </c>
      <c r="O85" s="9" t="inlineStr">
        <is>
          <t>Yes</t>
        </is>
      </c>
      <c r="P85" s="9" t="inlineStr">
        <is>
          <t>chequing-cost</t>
        </is>
      </c>
      <c r="Q85" s="11" t="n">
        <v>8330</v>
      </c>
      <c r="R85" s="9" t="inlineStr">
        <is>
          <t>pages-paste/074-banking-best-no-fee-chequing-accounts.html</t>
        </is>
      </c>
      <c r="S85" s="9" t="inlineStr">
        <is>
          <t>Not started</t>
        </is>
      </c>
      <c r="T85" s="10" t="n"/>
    </row>
    <row r="86" ht="35.05" customHeight="1" s="7">
      <c r="A86" s="9" t="n">
        <v>75</v>
      </c>
      <c r="B86" s="9" t="n">
        <v>5</v>
      </c>
      <c r="C86" s="10" t="n">
        <v>46322</v>
      </c>
      <c r="D86" s="9" t="inlineStr">
        <is>
          <t>https://wealthscale.ca/savings/high-interest-savings-accounts/</t>
        </is>
      </c>
      <c r="E86" s="9" t="inlineStr">
        <is>
          <t>/savings/</t>
        </is>
      </c>
      <c r="F86" s="9" t="inlineStr">
        <is>
          <t>Best High-Interest Savings Accounts</t>
        </is>
      </c>
      <c r="G86" s="9" t="inlineStr">
        <is>
          <t>Best High-Interest Savings Accounts in Canada</t>
        </is>
      </c>
      <c r="H86" s="9" t="inlineStr">
        <is>
          <t>Best High Interest Savings Account Canada: 2026 Rates</t>
        </is>
      </c>
      <c r="I86" s="9">
        <f>LEN(H86)</f>
        <v/>
      </c>
      <c r="J86" s="9" t="inlineStr">
        <is>
          <t>Compare the best high interest savings account Canada offers in 2026: Saven pays 2.85% with no fee, Oaken 2.80% with CDIC cover. Rates checked Oct 22.</t>
        </is>
      </c>
      <c r="K86" s="9">
        <f>LEN(J86)</f>
        <v/>
      </c>
      <c r="L86" s="9" t="inlineStr">
        <is>
          <t>best high interest savings account canada</t>
        </is>
      </c>
      <c r="M86" s="9" t="inlineStr">
        <is>
          <t>high interest savings account canada, best savings rates canada, hisa rates</t>
        </is>
      </c>
      <c r="N86" s="9" t="inlineStr">
        <is>
          <t>rates</t>
        </is>
      </c>
      <c r="O86" s="9" t="inlineStr">
        <is>
          <t>Yes</t>
        </is>
      </c>
      <c r="P86" s="9" t="inlineStr">
        <is>
          <t>hisa-earnings, savings-goal</t>
        </is>
      </c>
      <c r="Q86" s="11" t="n">
        <v>9415</v>
      </c>
      <c r="R86" s="9" t="inlineStr">
        <is>
          <t>pages-paste/075-savings-high-interest-savings-accounts.html</t>
        </is>
      </c>
      <c r="S86" s="9" t="inlineStr">
        <is>
          <t>Not started</t>
        </is>
      </c>
      <c r="T86" s="10" t="n"/>
    </row>
    <row r="87" ht="35.05" customHeight="1" s="7">
      <c r="A87" s="9" t="n">
        <v>76</v>
      </c>
      <c r="B87" s="9" t="n">
        <v>5</v>
      </c>
      <c r="C87" s="10" t="n">
        <v>46322</v>
      </c>
      <c r="D87" s="9" t="inlineStr">
        <is>
          <t>https://wealthscale.ca/savings/usd-savings-accounts/</t>
        </is>
      </c>
      <c r="E87" s="9" t="inlineStr">
        <is>
          <t>/savings/</t>
        </is>
      </c>
      <c r="F87" s="9" t="inlineStr">
        <is>
          <t>Best USD Savings Accounts</t>
        </is>
      </c>
      <c r="G87" s="9" t="inlineStr">
        <is>
          <t>Best USD Savings Accounts in Canada</t>
        </is>
      </c>
      <c r="H87" s="9" t="inlineStr">
        <is>
          <t>USD Savings Account Canada: Best US Dollar Savings Rates</t>
        </is>
      </c>
      <c r="I87" s="9">
        <f>LEN(H87)</f>
        <v/>
      </c>
      <c r="J87" s="9" t="inlineStr">
        <is>
          <t>Compare every USD savings account Canada banks publish: EQ Bank pays 2.50%, big banks 0.250% or less, plus fees, CDIC rules and tax. Checked October 22.</t>
        </is>
      </c>
      <c r="K87" s="9">
        <f>LEN(J87)</f>
        <v/>
      </c>
      <c r="L87" s="9" t="inlineStr">
        <is>
          <t>usd savings account canada</t>
        </is>
      </c>
      <c r="M87" s="9" t="inlineStr">
        <is>
          <t>us dollar savings account canada, usd hisa</t>
        </is>
      </c>
      <c r="N87" s="9" t="inlineStr">
        <is>
          <t>rates</t>
        </is>
      </c>
      <c r="O87" s="9" t="inlineStr">
        <is>
          <t>Yes</t>
        </is>
      </c>
      <c r="P87" s="9" t="inlineStr">
        <is>
          <t>hisa-earnings[usd]</t>
        </is>
      </c>
      <c r="Q87" s="11" t="n">
        <v>6808</v>
      </c>
      <c r="R87" s="9" t="inlineStr">
        <is>
          <t>pages-paste/076-savings-usd-savings-accounts.html</t>
        </is>
      </c>
      <c r="S87" s="9" t="inlineStr">
        <is>
          <t>Not started</t>
        </is>
      </c>
      <c r="T87" s="10" t="n"/>
    </row>
    <row r="88" ht="35.05" customHeight="1" s="7">
      <c r="A88" s="9" t="n">
        <v>77</v>
      </c>
      <c r="B88" s="9" t="n">
        <v>5</v>
      </c>
      <c r="C88" s="10" t="n">
        <v>46322</v>
      </c>
      <c r="D88" s="9" t="inlineStr">
        <is>
          <t>https://wealthscale.ca/savings/gic-rates/</t>
        </is>
      </c>
      <c r="E88" s="9" t="inlineStr">
        <is>
          <t>/savings/</t>
        </is>
      </c>
      <c r="F88" s="9" t="inlineStr">
        <is>
          <t>Best GIC Rates</t>
        </is>
      </c>
      <c r="G88" s="9" t="inlineStr">
        <is>
          <t>Best GIC Rates in Canada</t>
        </is>
      </c>
      <c r="H88" s="9" t="inlineStr">
        <is>
          <t>Best GIC Rates Canada 2026: 1 to 5 Year Rates by Term</t>
        </is>
      </c>
      <c r="I88" s="9">
        <f>LEN(H88)</f>
        <v/>
      </c>
      <c r="J88" s="9" t="inlineStr">
        <is>
          <t>Compare the best GIC rates Canada offers by term: 3.85% for 1 year and 4.50% for 5 years, plus big bank rates and CDIC limits. Checked October 22, 2026.</t>
        </is>
      </c>
      <c r="K88" s="9">
        <f>LEN(J88)</f>
        <v/>
      </c>
      <c r="L88" s="9" t="inlineStr">
        <is>
          <t>best gic rates canada</t>
        </is>
      </c>
      <c r="M88" s="9" t="inlineStr">
        <is>
          <t>gic rates today, 1 year gic rates, 5 year gic rates, cashable gic</t>
        </is>
      </c>
      <c r="N88" s="9" t="inlineStr">
        <is>
          <t>rates</t>
        </is>
      </c>
      <c r="O88" s="9" t="inlineStr">
        <is>
          <t>Yes</t>
        </is>
      </c>
      <c r="P88" s="9" t="inlineStr">
        <is>
          <t>gic-calc, gic-ladder</t>
        </is>
      </c>
      <c r="Q88" s="11" t="n">
        <v>7734</v>
      </c>
      <c r="R88" s="9" t="inlineStr">
        <is>
          <t>pages-paste/077-savings-gic-rates.html</t>
        </is>
      </c>
      <c r="S88" s="9" t="inlineStr">
        <is>
          <t>Not started</t>
        </is>
      </c>
      <c r="T88" s="10" t="n"/>
    </row>
    <row r="89" ht="23.85" customHeight="1" s="7">
      <c r="A89" s="9" t="n">
        <v>78</v>
      </c>
      <c r="B89" s="9" t="n">
        <v>5</v>
      </c>
      <c r="C89" s="10" t="n">
        <v>46322</v>
      </c>
      <c r="D89" s="9" t="inlineStr">
        <is>
          <t>https://wealthscale.ca/reviews/questrade/</t>
        </is>
      </c>
      <c r="E89" s="9" t="inlineStr">
        <is>
          <t>/reviews/</t>
        </is>
      </c>
      <c r="F89" s="9" t="inlineStr">
        <is>
          <t>Questrade Review</t>
        </is>
      </c>
      <c r="G89" s="9" t="inlineStr">
        <is>
          <t>Questrade Review</t>
        </is>
      </c>
      <c r="H89" s="9" t="inlineStr">
        <is>
          <t>Questrade Review 2026: Fees, FX Costs, Questwealth and Score</t>
        </is>
      </c>
      <c r="I89" s="9">
        <f>LEN(H89)</f>
        <v/>
      </c>
      <c r="J89" s="9" t="inlineStr">
        <is>
          <t>Questrade review 2026: $0 stock and ETF commissions, a 1.5% FX fee, US dollars in registered accounts at no extra cost, and a score of 4.0 / 5.</t>
        </is>
      </c>
      <c r="K89" s="9">
        <f>LEN(J89)</f>
        <v/>
      </c>
      <c r="L89" s="9" t="inlineStr">
        <is>
          <t>questrade review</t>
        </is>
      </c>
      <c r="M89" s="9" t="inlineStr">
        <is>
          <t>questrade fees, questrade fx fee, questwealth</t>
        </is>
      </c>
      <c r="N89" s="9" t="inlineStr">
        <is>
          <t>review</t>
        </is>
      </c>
      <c r="O89" s="9" t="inlineStr">
        <is>
          <t>Yes</t>
        </is>
      </c>
      <c r="P89" s="9" t="inlineStr">
        <is>
          <t>broker-cost, fx-cost</t>
        </is>
      </c>
      <c r="Q89" s="11" t="n">
        <v>7611</v>
      </c>
      <c r="R89" s="9" t="inlineStr">
        <is>
          <t>pages-paste/078-reviews-questrade.html</t>
        </is>
      </c>
      <c r="S89" s="9" t="inlineStr">
        <is>
          <t>Not started</t>
        </is>
      </c>
      <c r="T89" s="10" t="n"/>
    </row>
    <row r="90" ht="35.05" customHeight="1" s="7">
      <c r="A90" s="9" t="n">
        <v>79</v>
      </c>
      <c r="B90" s="9" t="n">
        <v>5</v>
      </c>
      <c r="C90" s="10" t="n">
        <v>46322</v>
      </c>
      <c r="D90" s="9" t="inlineStr">
        <is>
          <t>https://wealthscale.ca/reviews/interactive-brokers/</t>
        </is>
      </c>
      <c r="E90" s="9" t="inlineStr">
        <is>
          <t>/reviews/</t>
        </is>
      </c>
      <c r="F90" s="9" t="inlineStr">
        <is>
          <t>Interactive Brokers Canada Review</t>
        </is>
      </c>
      <c r="G90" s="9" t="inlineStr">
        <is>
          <t>Interactive Brokers Canada Review</t>
        </is>
      </c>
      <c r="H90" s="9" t="inlineStr">
        <is>
          <t>Interactive Brokers Canada Review 2026: IBKR Fees and Score</t>
        </is>
      </c>
      <c r="I90" s="9">
        <f>LEN(H90)</f>
        <v/>
      </c>
      <c r="J90" s="9" t="inlineStr">
        <is>
          <t>Interactive Brokers Canada review 2026: commissions from CAD 1 a trade, FX at 0.20 basis points with a US$2 minimum, 3.675% margin and a 4.4 / 5 score.</t>
        </is>
      </c>
      <c r="K90" s="9">
        <f>LEN(J90)</f>
        <v/>
      </c>
      <c r="L90" s="9" t="inlineStr">
        <is>
          <t>interactive brokers canada review</t>
        </is>
      </c>
      <c r="M90" s="9" t="inlineStr">
        <is>
          <t>ibkr canada fees, interactive brokers tfsa</t>
        </is>
      </c>
      <c r="N90" s="9" t="inlineStr">
        <is>
          <t>review</t>
        </is>
      </c>
      <c r="O90" s="9" t="inlineStr">
        <is>
          <t>Yes</t>
        </is>
      </c>
      <c r="P90" s="9" t="inlineStr">
        <is>
          <t>broker-cost, margin-interest</t>
        </is>
      </c>
      <c r="Q90" s="11" t="n">
        <v>7256</v>
      </c>
      <c r="R90" s="9" t="inlineStr">
        <is>
          <t>pages-paste/079-reviews-interactive-brokers.html</t>
        </is>
      </c>
      <c r="S90" s="9" t="inlineStr">
        <is>
          <t>Not started</t>
        </is>
      </c>
      <c r="T90" s="10" t="n"/>
    </row>
    <row r="91" ht="35.05" customHeight="1" s="7">
      <c r="A91" s="9" t="n">
        <v>80</v>
      </c>
      <c r="B91" s="9" t="n">
        <v>5</v>
      </c>
      <c r="C91" s="10" t="n">
        <v>46322</v>
      </c>
      <c r="D91" s="9" t="inlineStr">
        <is>
          <t>https://wealthscale.ca/reviews/moomoo/</t>
        </is>
      </c>
      <c r="E91" s="9" t="inlineStr">
        <is>
          <t>/reviews/</t>
        </is>
      </c>
      <c r="F91" s="9" t="inlineStr">
        <is>
          <t>moomoo Canada Review</t>
        </is>
      </c>
      <c r="G91" s="9" t="inlineStr">
        <is>
          <t>moomoo Canada Review</t>
        </is>
      </c>
      <c r="H91" s="9" t="inlineStr">
        <is>
          <t>moomoo Canada Review 2026: Fees, TFSA, FX Spread and Score</t>
        </is>
      </c>
      <c r="I91" s="9">
        <f>LEN(H91)</f>
        <v/>
      </c>
      <c r="J91" s="9" t="inlineStr">
        <is>
          <t>moomoo Canada review 2026: per-share pricing from CA$1.49 an order, a 0% FX fee with an undisclosed spread, TFSA and RRSP only, and a 3.3 / 5 score.</t>
        </is>
      </c>
      <c r="K91" s="9">
        <f>LEN(J91)</f>
        <v/>
      </c>
      <c r="L91" s="9" t="inlineStr">
        <is>
          <t>moomoo canada review</t>
        </is>
      </c>
      <c r="M91" s="9" t="inlineStr">
        <is>
          <t>moomoo fees canada, moomoo tfsa</t>
        </is>
      </c>
      <c r="N91" s="9" t="inlineStr">
        <is>
          <t>review</t>
        </is>
      </c>
      <c r="O91" s="9" t="inlineStr">
        <is>
          <t>Yes</t>
        </is>
      </c>
      <c r="P91" s="9" t="inlineStr">
        <is>
          <t>broker-cost</t>
        </is>
      </c>
      <c r="Q91" s="11" t="n">
        <v>7060</v>
      </c>
      <c r="R91" s="9" t="inlineStr">
        <is>
          <t>pages-paste/080-reviews-moomoo.html</t>
        </is>
      </c>
      <c r="S91" s="9" t="inlineStr">
        <is>
          <t>Not started</t>
        </is>
      </c>
      <c r="T91" s="10" t="n"/>
    </row>
    <row r="92" ht="35.05" customHeight="1" s="7">
      <c r="A92" s="9" t="n">
        <v>81</v>
      </c>
      <c r="B92" s="9" t="n">
        <v>5</v>
      </c>
      <c r="C92" s="10" t="n">
        <v>46322</v>
      </c>
      <c r="D92" s="9" t="inlineStr">
        <is>
          <t>https://wealthscale.ca/reviews/webull/</t>
        </is>
      </c>
      <c r="E92" s="9" t="inlineStr">
        <is>
          <t>/reviews/</t>
        </is>
      </c>
      <c r="F92" s="9" t="inlineStr">
        <is>
          <t>Webull Canada Review</t>
        </is>
      </c>
      <c r="G92" s="9" t="inlineStr">
        <is>
          <t>Webull Canada Review</t>
        </is>
      </c>
      <c r="H92" s="9" t="inlineStr">
        <is>
          <t>Webull Canada Review 2026: Fees, TFSA, FX Cost and Our Score</t>
        </is>
      </c>
      <c r="I92" s="9">
        <f>LEN(H92)</f>
        <v/>
      </c>
      <c r="J92" s="9" t="inlineStr">
        <is>
          <t>Webull Canada review 2026: $0 stock and ETF commissions, a 1.5% FX fee, a $0.70 monthly account fee, TFSA and RRSP only, and a score of 3.0 / 5.</t>
        </is>
      </c>
      <c r="K92" s="9">
        <f>LEN(J92)</f>
        <v/>
      </c>
      <c r="L92" s="9" t="inlineStr">
        <is>
          <t>webull canada review</t>
        </is>
      </c>
      <c r="M92" s="9" t="inlineStr">
        <is>
          <t>webull fees canada, webull tfsa</t>
        </is>
      </c>
      <c r="N92" s="9" t="inlineStr">
        <is>
          <t>review</t>
        </is>
      </c>
      <c r="O92" s="9" t="inlineStr">
        <is>
          <t>Yes</t>
        </is>
      </c>
      <c r="P92" s="9" t="inlineStr">
        <is>
          <t>broker-cost</t>
        </is>
      </c>
      <c r="Q92" s="11" t="n">
        <v>6952</v>
      </c>
      <c r="R92" s="9" t="inlineStr">
        <is>
          <t>pages-paste/081-reviews-webull.html</t>
        </is>
      </c>
      <c r="S92" s="9" t="inlineStr">
        <is>
          <t>Not started</t>
        </is>
      </c>
      <c r="T92" s="10" t="n"/>
    </row>
    <row r="93" ht="35.05" customHeight="1" s="7">
      <c r="A93" s="9" t="n">
        <v>82</v>
      </c>
      <c r="B93" s="9" t="n">
        <v>5</v>
      </c>
      <c r="C93" s="10" t="n">
        <v>46322</v>
      </c>
      <c r="D93" s="9" t="inlineStr">
        <is>
          <t>https://wealthscale.ca/reviews/qtrade/</t>
        </is>
      </c>
      <c r="E93" s="9" t="inlineStr">
        <is>
          <t>/reviews/</t>
        </is>
      </c>
      <c r="F93" s="9" t="inlineStr">
        <is>
          <t>Qtrade Direct Investing Review</t>
        </is>
      </c>
      <c r="G93" s="9" t="inlineStr">
        <is>
          <t>Qtrade Direct Investing Review</t>
        </is>
      </c>
      <c r="H93" s="9" t="inlineStr">
        <is>
          <t>Qtrade Review 2026: $0 Trades, Fees, USD Accounts and Score</t>
        </is>
      </c>
      <c r="I93" s="9">
        <f>LEN(H93)</f>
        <v/>
      </c>
      <c r="J93" s="9" t="inlineStr">
        <is>
          <t>Qtrade review 2026: $0 online stock and ETF trades, $0.75 options contracts and no quarterly admin fee. Overall score 3.7 / 5, with costs and rivals.</t>
        </is>
      </c>
      <c r="K93" s="9">
        <f>LEN(J93)</f>
        <v/>
      </c>
      <c r="L93" s="9" t="inlineStr">
        <is>
          <t>qtrade review</t>
        </is>
      </c>
      <c r="M93" s="9" t="inlineStr">
        <is>
          <t>qtrade fees, qtrade guided portfolios</t>
        </is>
      </c>
      <c r="N93" s="9" t="inlineStr">
        <is>
          <t>review</t>
        </is>
      </c>
      <c r="O93" s="9" t="inlineStr">
        <is>
          <t>Yes</t>
        </is>
      </c>
      <c r="P93" s="9" t="inlineStr">
        <is>
          <t>broker-cost</t>
        </is>
      </c>
      <c r="Q93" s="11" t="n">
        <v>8790</v>
      </c>
      <c r="R93" s="9" t="inlineStr">
        <is>
          <t>pages-paste/082-reviews-qtrade.html</t>
        </is>
      </c>
      <c r="S93" s="9" t="inlineStr">
        <is>
          <t>Not started</t>
        </is>
      </c>
      <c r="T93" s="10" t="n"/>
    </row>
    <row r="94" ht="35.05" customHeight="1" s="7">
      <c r="A94" s="9" t="n">
        <v>83</v>
      </c>
      <c r="B94" s="9" t="n">
        <v>5</v>
      </c>
      <c r="C94" s="10" t="n">
        <v>46322</v>
      </c>
      <c r="D94" s="9" t="inlineStr">
        <is>
          <t>https://wealthscale.ca/reviews/td-direct-investing/</t>
        </is>
      </c>
      <c r="E94" s="9" t="inlineStr">
        <is>
          <t>/reviews/</t>
        </is>
      </c>
      <c r="F94" s="9" t="inlineStr">
        <is>
          <t>TD Direct Investing Review</t>
        </is>
      </c>
      <c r="G94" s="9" t="inlineStr">
        <is>
          <t>TD Direct Investing Review</t>
        </is>
      </c>
      <c r="H94" s="9" t="inlineStr">
        <is>
          <t>TD Direct Investing Review 2026: Fees, Easy Trade, Score</t>
        </is>
      </c>
      <c r="I94" s="9">
        <f>LEN(H94)</f>
        <v/>
      </c>
      <c r="J94" s="9" t="inlineStr">
        <is>
          <t>TD Direct Investing review 2026: $9.99 trades, TD Easy Trade with 100 $0 trades a year, a 1.26% FX spread and a 2.3 / 5 score, with costs and rivals.</t>
        </is>
      </c>
      <c r="K94" s="9">
        <f>LEN(J94)</f>
        <v/>
      </c>
      <c r="L94" s="9" t="inlineStr">
        <is>
          <t>td direct investing review</t>
        </is>
      </c>
      <c r="M94" s="9" t="inlineStr">
        <is>
          <t>td direct investing fees, td easy trade</t>
        </is>
      </c>
      <c r="N94" s="9" t="inlineStr">
        <is>
          <t>review</t>
        </is>
      </c>
      <c r="O94" s="9" t="inlineStr">
        <is>
          <t>Yes</t>
        </is>
      </c>
      <c r="P94" s="9" t="inlineStr">
        <is>
          <t>broker-cost, transfer-fee</t>
        </is>
      </c>
      <c r="Q94" s="11" t="n">
        <v>8339</v>
      </c>
      <c r="R94" s="9" t="inlineStr">
        <is>
          <t>pages-paste/083-reviews-td-direct-investing.html</t>
        </is>
      </c>
      <c r="S94" s="9" t="inlineStr">
        <is>
          <t>Not started</t>
        </is>
      </c>
      <c r="T94" s="10" t="n"/>
    </row>
    <row r="95" ht="35.05" customHeight="1" s="7">
      <c r="A95" s="9" t="n">
        <v>84</v>
      </c>
      <c r="B95" s="9" t="n">
        <v>5</v>
      </c>
      <c r="C95" s="10" t="n">
        <v>46322</v>
      </c>
      <c r="D95" s="9" t="inlineStr">
        <is>
          <t>https://wealthscale.ca/reviews/rbc-direct-investing/</t>
        </is>
      </c>
      <c r="E95" s="9" t="inlineStr">
        <is>
          <t>/reviews/</t>
        </is>
      </c>
      <c r="F95" s="9" t="inlineStr">
        <is>
          <t>RBC Direct Investing Review</t>
        </is>
      </c>
      <c r="G95" s="9" t="inlineStr">
        <is>
          <t>RBC Direct Investing Review</t>
        </is>
      </c>
      <c r="H95" s="9" t="inlineStr">
        <is>
          <t>RBC Direct Investing Review 2026: Fees, GoSmart, InvestEase</t>
        </is>
      </c>
      <c r="I95" s="9">
        <f>LEN(H95)</f>
        <v/>
      </c>
      <c r="J95" s="9" t="inlineStr">
        <is>
          <t>RBC Direct Investing review 2026: $9.95 trades, 50 $0 GoSmart trades a year, no maintenance fee and a 2.6 / 5 score, plus RBC InvestEase at 0.50%.</t>
        </is>
      </c>
      <c r="K95" s="9">
        <f>LEN(J95)</f>
        <v/>
      </c>
      <c r="L95" s="9" t="inlineStr">
        <is>
          <t>rbc direct investing review</t>
        </is>
      </c>
      <c r="M95" s="9" t="inlineStr">
        <is>
          <t>rbc direct investing fees, rbc investease</t>
        </is>
      </c>
      <c r="N95" s="9" t="inlineStr">
        <is>
          <t>review</t>
        </is>
      </c>
      <c r="O95" s="9" t="inlineStr">
        <is>
          <t>Yes</t>
        </is>
      </c>
      <c r="P95" s="9" t="inlineStr">
        <is>
          <t>broker-cost</t>
        </is>
      </c>
      <c r="Q95" s="11" t="n">
        <v>8496</v>
      </c>
      <c r="R95" s="9" t="inlineStr">
        <is>
          <t>pages-paste/084-reviews-rbc-direct-investing.html</t>
        </is>
      </c>
      <c r="S95" s="9" t="inlineStr">
        <is>
          <t>Not started</t>
        </is>
      </c>
      <c r="T95" s="10" t="n"/>
    </row>
    <row r="96" ht="35.05" customHeight="1" s="7">
      <c r="A96" s="9" t="n">
        <v>85</v>
      </c>
      <c r="B96" s="9" t="n">
        <v>5</v>
      </c>
      <c r="C96" s="10" t="n">
        <v>46322</v>
      </c>
      <c r="D96" s="9" t="inlineStr">
        <is>
          <t>https://wealthscale.ca/reviews/eq-bank/</t>
        </is>
      </c>
      <c r="E96" s="9" t="inlineStr">
        <is>
          <t>/reviews/</t>
        </is>
      </c>
      <c r="F96" s="9" t="inlineStr">
        <is>
          <t>EQ Bank Review</t>
        </is>
      </c>
      <c r="G96" s="9" t="inlineStr">
        <is>
          <t>EQ Bank Review</t>
        </is>
      </c>
      <c r="H96" s="9" t="inlineStr">
        <is>
          <t>EQ Bank Review 2026: Rates, Fees, USD Account and GICs</t>
        </is>
      </c>
      <c r="I96" s="9">
        <f>LEN(H96)</f>
        <v/>
      </c>
      <c r="J96" s="9" t="inlineStr">
        <is>
          <t>EQ Bank review 2026: the Personal Account pays 1.00%, or 2.75% with pay direct deposit, with no monthly fee and CDIC cover. Banking score 4.6 / 5.</t>
        </is>
      </c>
      <c r="K96" s="9">
        <f>LEN(J96)</f>
        <v/>
      </c>
      <c r="L96" s="9" t="inlineStr">
        <is>
          <t>eq bank review</t>
        </is>
      </c>
      <c r="M96" s="9" t="inlineStr">
        <is>
          <t>eq bank personal account, eq bank gic rates, eq bank usd</t>
        </is>
      </c>
      <c r="N96" s="9" t="inlineStr">
        <is>
          <t>review</t>
        </is>
      </c>
      <c r="O96" s="9" t="inlineStr">
        <is>
          <t>Yes</t>
        </is>
      </c>
      <c r="P96" s="9" t="inlineStr">
        <is>
          <t>hisa-earnings, gic-calc</t>
        </is>
      </c>
      <c r="Q96" s="11" t="n">
        <v>7563</v>
      </c>
      <c r="R96" s="9" t="inlineStr">
        <is>
          <t>pages-paste/085-reviews-eq-bank.html</t>
        </is>
      </c>
      <c r="S96" s="9" t="inlineStr">
        <is>
          <t>Not started</t>
        </is>
      </c>
      <c r="T96" s="10" t="n"/>
    </row>
    <row r="97" ht="35.05" customHeight="1" s="7">
      <c r="A97" s="9" t="n">
        <v>90</v>
      </c>
      <c r="B97" s="9" t="n">
        <v>5</v>
      </c>
      <c r="C97" s="10" t="n">
        <v>46322</v>
      </c>
      <c r="D97" s="9" t="inlineStr">
        <is>
          <t>https://wealthscale.ca/vs/questrade-vs-interactive-brokers/</t>
        </is>
      </c>
      <c r="E97" s="9" t="inlineStr">
        <is>
          <t>/vs/</t>
        </is>
      </c>
      <c r="F97" s="9" t="inlineStr">
        <is>
          <t>Questrade vs Interactive Brokers</t>
        </is>
      </c>
      <c r="G97" s="9" t="inlineStr">
        <is>
          <t>Questrade vs Interactive Brokers</t>
        </is>
      </c>
      <c r="H97" s="9" t="inlineStr">
        <is>
          <t>Questrade vs Interactive Brokers: Fees, FX and Margin</t>
        </is>
      </c>
      <c r="I97" s="9">
        <f>LEN(H97)</f>
        <v/>
      </c>
      <c r="J97" s="9" t="inlineStr">
        <is>
          <t>Questrade vs Interactive Brokers: $0 trades and no-fee US dollars in a TFSA or RRSP, or a US$2 FX minimum and 3.675% margin. Scores 4.0 vs 4.4 / 5.</t>
        </is>
      </c>
      <c r="K97" s="9">
        <f>LEN(J97)</f>
        <v/>
      </c>
      <c r="L97" s="9" t="inlineStr">
        <is>
          <t>questrade vs interactive brokers</t>
        </is>
      </c>
      <c r="M97" s="9" t="inlineStr">
        <is>
          <t>questrade or ibkr</t>
        </is>
      </c>
      <c r="N97" s="9" t="inlineStr">
        <is>
          <t>versus-platform</t>
        </is>
      </c>
      <c r="O97" s="9" t="inlineStr">
        <is>
          <t>Yes</t>
        </is>
      </c>
      <c r="P97" s="9" t="inlineStr">
        <is>
          <t>broker-cost, options-cost</t>
        </is>
      </c>
      <c r="Q97" s="11" t="n">
        <v>6384</v>
      </c>
      <c r="R97" s="9" t="inlineStr">
        <is>
          <t>pages-paste/090-vs-questrade-vs-interactive-brokers.html</t>
        </is>
      </c>
      <c r="S97" s="9" t="inlineStr">
        <is>
          <t>Not started</t>
        </is>
      </c>
      <c r="T97" s="10" t="n"/>
    </row>
    <row r="98" ht="35.05" customHeight="1" s="7">
      <c r="A98" s="9" t="n">
        <v>91</v>
      </c>
      <c r="B98" s="9" t="n">
        <v>5</v>
      </c>
      <c r="C98" s="10" t="n">
        <v>46322</v>
      </c>
      <c r="D98" s="9" t="inlineStr">
        <is>
          <t>https://wealthscale.ca/vs/tfsa-vs-rrsp/</t>
        </is>
      </c>
      <c r="E98" s="9" t="inlineStr">
        <is>
          <t>/vs/</t>
        </is>
      </c>
      <c r="F98" s="9" t="inlineStr">
        <is>
          <t>TFSA vs RRSP</t>
        </is>
      </c>
      <c r="G98" s="9" t="inlineStr">
        <is>
          <t>TFSA vs RRSP: Which Should You Use First?</t>
        </is>
      </c>
      <c r="H98" s="9" t="inlineStr">
        <is>
          <t>TFSA vs RRSP: Which Should You Use First? Tax Examples</t>
        </is>
      </c>
      <c r="I98" s="9">
        <f>LEN(H98)</f>
        <v/>
      </c>
      <c r="J98" s="9" t="inlineStr">
        <is>
          <t>TFSA vs RRSP compared on 20 points with tax worked out at four incomes: a $7,000 RRSP deduction saves $2,075.50 at $80,000 of income in Ontario.</t>
        </is>
      </c>
      <c r="K98" s="9">
        <f>LEN(J98)</f>
        <v/>
      </c>
      <c r="L98" s="9" t="inlineStr">
        <is>
          <t>tfsa vs rrsp</t>
        </is>
      </c>
      <c r="M98" s="9" t="inlineStr">
        <is>
          <t>rrsp or tfsa, tfsa or rrsp first</t>
        </is>
      </c>
      <c r="N98" s="9" t="inlineStr">
        <is>
          <t>versus-account</t>
        </is>
      </c>
      <c r="O98" s="9" t="inlineStr">
        <is>
          <t>Yes</t>
        </is>
      </c>
      <c r="P98" s="9" t="inlineStr">
        <is>
          <t>tfsa-vs-rrsp, rrsp-refund</t>
        </is>
      </c>
      <c r="Q98" s="11" t="n">
        <v>6366</v>
      </c>
      <c r="R98" s="9" t="inlineStr">
        <is>
          <t>pages-paste/091-vs-tfsa-vs-rrsp.html</t>
        </is>
      </c>
      <c r="S98" s="9" t="inlineStr">
        <is>
          <t>Not started</t>
        </is>
      </c>
      <c r="T98" s="10" t="n"/>
    </row>
    <row r="99" ht="23.85" customHeight="1" s="7">
      <c r="A99" s="9" t="n">
        <v>92</v>
      </c>
      <c r="B99" s="9" t="n">
        <v>5</v>
      </c>
      <c r="C99" s="10" t="n">
        <v>46322</v>
      </c>
      <c r="D99" s="9" t="inlineStr">
        <is>
          <t>https://wealthscale.ca/vs/fhsa-vs-rrsp/</t>
        </is>
      </c>
      <c r="E99" s="9" t="inlineStr">
        <is>
          <t>/vs/</t>
        </is>
      </c>
      <c r="F99" s="9" t="inlineStr">
        <is>
          <t>FHSA vs RRSP Home Buyers' Plan</t>
        </is>
      </c>
      <c r="G99" s="9" t="inlineStr">
        <is>
          <t>FHSA vs RRSP Home Buyers' Plan</t>
        </is>
      </c>
      <c r="H99" s="9" t="inlineStr">
        <is>
          <t>FHSA vs RRSP Home Buyers' Plan: Which to Use First</t>
        </is>
      </c>
      <c r="I99" s="9">
        <f>LEN(H99)</f>
        <v/>
      </c>
      <c r="J99" s="9" t="inlineStr">
        <is>
          <t>FHSA vs RRSP for a first home: both give a deduction, but only the Home Buyers' Plan must be repaid, at $4,000 a year on a $60,000 withdrawal.</t>
        </is>
      </c>
      <c r="K99" s="9">
        <f>LEN(J99)</f>
        <v/>
      </c>
      <c r="L99" s="9" t="inlineStr">
        <is>
          <t>fhsa vs rrsp</t>
        </is>
      </c>
      <c r="M99" s="9" t="inlineStr">
        <is>
          <t>fhsa or hbp, fhsa and rrsp together</t>
        </is>
      </c>
      <c r="N99" s="9" t="inlineStr">
        <is>
          <t>versus-account</t>
        </is>
      </c>
      <c r="O99" s="9" t="inlineStr">
        <is>
          <t>Yes</t>
        </is>
      </c>
      <c r="P99" s="9" t="inlineStr">
        <is>
          <t>first-home, hbp-repayment</t>
        </is>
      </c>
      <c r="Q99" s="11" t="n">
        <v>6636</v>
      </c>
      <c r="R99" s="9" t="inlineStr">
        <is>
          <t>pages-paste/092-vs-fhsa-vs-rrsp.html</t>
        </is>
      </c>
      <c r="S99" s="9" t="inlineStr">
        <is>
          <t>Not started</t>
        </is>
      </c>
      <c r="T99" s="10" t="n"/>
    </row>
    <row r="100" ht="35.05" customHeight="1" s="7">
      <c r="A100" s="9" t="n">
        <v>93</v>
      </c>
      <c r="B100" s="9" t="n">
        <v>5</v>
      </c>
      <c r="C100" s="10" t="n">
        <v>46322</v>
      </c>
      <c r="D100" s="9" t="inlineStr">
        <is>
          <t>https://wealthscale.ca/vs/fhsa-vs-tfsa/</t>
        </is>
      </c>
      <c r="E100" s="9" t="inlineStr">
        <is>
          <t>/vs/</t>
        </is>
      </c>
      <c r="F100" s="9" t="inlineStr">
        <is>
          <t>FHSA vs TFSA for a Down Payment</t>
        </is>
      </c>
      <c r="G100" s="9" t="inlineStr">
        <is>
          <t>FHSA vs TFSA for a Down Payment</t>
        </is>
      </c>
      <c r="H100" s="9" t="inlineStr">
        <is>
          <t>FHSA vs TFSA: Which Is Better for Your Down Payment?</t>
        </is>
      </c>
      <c r="I100" s="9">
        <f>LEN(H100)</f>
        <v/>
      </c>
      <c r="J100" s="9" t="inlineStr">
        <is>
          <t>FHSA vs TFSA for a down payment: an $8,000 FHSA deduction saves $2,522 at $75,000 in Ontario in 2026, while the TFSA keeps every withdrawal flexible.</t>
        </is>
      </c>
      <c r="K100" s="9">
        <f>LEN(J100)</f>
        <v/>
      </c>
      <c r="L100" s="9" t="inlineStr">
        <is>
          <t>fhsa vs tfsa</t>
        </is>
      </c>
      <c r="M100" s="9" t="inlineStr">
        <is>
          <t>fhsa or tfsa for house, down payment savings canada</t>
        </is>
      </c>
      <c r="N100" s="9" t="inlineStr">
        <is>
          <t>versus-account</t>
        </is>
      </c>
      <c r="O100" s="9" t="inlineStr">
        <is>
          <t>Yes</t>
        </is>
      </c>
      <c r="P100" s="9" t="inlineStr">
        <is>
          <t>first-home, fhsa-room</t>
        </is>
      </c>
      <c r="Q100" s="11" t="n">
        <v>6442</v>
      </c>
      <c r="R100" s="9" t="inlineStr">
        <is>
          <t>pages-paste/093-vs-fhsa-vs-tfsa.html</t>
        </is>
      </c>
      <c r="S100" s="9" t="inlineStr">
        <is>
          <t>Not started</t>
        </is>
      </c>
      <c r="T100" s="10" t="n"/>
    </row>
    <row r="101" ht="35.05" customHeight="1" s="7">
      <c r="A101" s="9" t="n">
        <v>94</v>
      </c>
      <c r="B101" s="9" t="n">
        <v>5</v>
      </c>
      <c r="C101" s="10" t="n">
        <v>46322</v>
      </c>
      <c r="D101" s="9" t="inlineStr">
        <is>
          <t>https://wealthscale.ca/vs/gic-vs-hisa/</t>
        </is>
      </c>
      <c r="E101" s="9" t="inlineStr">
        <is>
          <t>/vs/</t>
        </is>
      </c>
      <c r="F101" s="9" t="inlineStr">
        <is>
          <t>GIC vs HISA</t>
        </is>
      </c>
      <c r="G101" s="9" t="inlineStr">
        <is>
          <t>GIC vs High-Interest Savings Account</t>
        </is>
      </c>
      <c r="H101" s="9" t="inlineStr">
        <is>
          <t>GIC vs HISA: Rates, Access, Tax and Which Pays More</t>
        </is>
      </c>
      <c r="I101" s="9">
        <f>LEN(H101)</f>
        <v/>
      </c>
      <c r="J101" s="9" t="inlineStr">
        <is>
          <t>GIC vs HISA in Canada: the best 1-year GIC paid 3.85% and the top everyday savings rate 2.85% on October 22, 2026. Compare access, CDIC cover and tax.</t>
        </is>
      </c>
      <c r="K101" s="9">
        <f>LEN(J101)</f>
        <v/>
      </c>
      <c r="L101" s="9" t="inlineStr">
        <is>
          <t>gic vs hisa</t>
        </is>
      </c>
      <c r="M101" s="9" t="inlineStr">
        <is>
          <t>gic or savings account, gic vs savings account canada</t>
        </is>
      </c>
      <c r="N101" s="9" t="inlineStr">
        <is>
          <t>versus-account</t>
        </is>
      </c>
      <c r="O101" s="9" t="inlineStr">
        <is>
          <t>Yes</t>
        </is>
      </c>
      <c r="P101" s="9" t="inlineStr">
        <is>
          <t>gic-calc, hisa-earnings</t>
        </is>
      </c>
      <c r="Q101" s="11" t="n">
        <v>6765</v>
      </c>
      <c r="R101" s="9" t="inlineStr">
        <is>
          <t>pages-paste/094-vs-gic-vs-hisa.html</t>
        </is>
      </c>
      <c r="S101" s="9" t="inlineStr">
        <is>
          <t>Not started</t>
        </is>
      </c>
      <c r="T101" s="10" t="n"/>
    </row>
    <row r="102" ht="35.05" customHeight="1" s="7">
      <c r="A102" s="9" t="n">
        <v>100</v>
      </c>
      <c r="B102" s="9" t="n">
        <v>5</v>
      </c>
      <c r="C102" s="10" t="n">
        <v>46322</v>
      </c>
      <c r="D102" s="9" t="inlineStr">
        <is>
          <t>https://wealthscale.ca/benefits/gst-hst-credit/</t>
        </is>
      </c>
      <c r="E102" s="9" t="inlineStr">
        <is>
          <t>/benefits/</t>
        </is>
      </c>
      <c r="F102" s="9" t="inlineStr">
        <is>
          <t>GST/HST Credit Payment Dates and Amounts</t>
        </is>
      </c>
      <c r="G102" s="9" t="inlineStr">
        <is>
          <t>GST/HST Credit: Payment Dates and Amounts</t>
        </is>
      </c>
      <c r="H102" s="9" t="inlineStr">
        <is>
          <t>GST Payment Dates 2026: GST/HST Credit and CGEB Schedule</t>
        </is>
      </c>
      <c r="I102" s="9">
        <f>LEN(H102)</f>
        <v/>
      </c>
      <c r="J102" s="9" t="inlineStr">
        <is>
          <t>GST payment dates 2026: the next payment is January 5, 2027, now paid as the Canada Groceries and Essentials Benefit, up to $679 a year for a single adult.</t>
        </is>
      </c>
      <c r="K102" s="9">
        <f>LEN(J102)</f>
        <v/>
      </c>
      <c r="L102" s="9" t="inlineStr">
        <is>
          <t>gst payment dates 2026</t>
        </is>
      </c>
      <c r="M102" s="9" t="inlineStr">
        <is>
          <t>canada groceries and essentials benefit, cgeb payment dates, gst hst credit 2026, gst credit amount, gst payment dates 2027</t>
        </is>
      </c>
      <c r="N102" s="9" t="inlineStr">
        <is>
          <t>benefit-dates</t>
        </is>
      </c>
      <c r="O102" s="9" t="inlineStr">
        <is>
          <t>No</t>
        </is>
      </c>
      <c r="P102" s="9" t="inlineStr">
        <is>
          <t>benefit-dates[gst], gst-credit</t>
        </is>
      </c>
      <c r="Q102" s="11" t="n">
        <v>4946</v>
      </c>
      <c r="R102" s="9" t="inlineStr">
        <is>
          <t>pages-paste/100-benefits-gst-hst-credit.html</t>
        </is>
      </c>
      <c r="S102" s="9" t="inlineStr">
        <is>
          <t>Not started</t>
        </is>
      </c>
      <c r="T102" s="10" t="n"/>
    </row>
  </sheetData>
  <autoFilter ref="A1:T102"/>
  <dataValidations count="1">
    <dataValidation sqref="S2:S102" showDropDown="0" showInputMessage="0" showErrorMessage="0" allowBlank="0" type="list" errorStyle="stop" operator="between">
      <formula1>"Not started,In progress,Live"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6" min="1" max="1"/>
    <col width="28" customWidth="1" style="6" min="2" max="2"/>
    <col width="14" customWidth="1" style="6" min="3" max="3"/>
    <col width="8" customWidth="1" style="6" min="4" max="4"/>
    <col width="11" customWidth="1" style="6" min="5" max="5"/>
    <col width="14" customWidth="1" style="6" min="6" max="6"/>
  </cols>
  <sheetData>
    <row r="1" ht="15" customHeight="1" s="7">
      <c r="A1" s="8" t="inlineStr">
        <is>
          <t>Day</t>
        </is>
      </c>
      <c r="B1" s="8" t="inlineStr">
        <is>
          <t>Date</t>
        </is>
      </c>
      <c r="C1" s="8" t="inlineStr">
        <is>
          <t>Pages planned</t>
        </is>
      </c>
      <c r="D1" s="8" t="inlineStr">
        <is>
          <t>Live</t>
        </is>
      </c>
      <c r="E1" s="8" t="inlineStr">
        <is>
          <t>Remaining</t>
        </is>
      </c>
      <c r="F1" s="8" t="inlineStr">
        <is>
          <t>Words planned</t>
        </is>
      </c>
    </row>
    <row r="2" ht="15" customHeight="1" s="7">
      <c r="A2" s="9" t="n">
        <v>1</v>
      </c>
      <c r="B2" s="12" t="n">
        <v>46318</v>
      </c>
      <c r="C2" s="9">
        <f>COUNTIF(Pages!B$2:B$102,A2)</f>
        <v/>
      </c>
      <c r="D2" s="9">
        <f>COUNTIFS(Pages!B$2:B$102,A2,Pages!S$2:S$102,"Live")</f>
        <v/>
      </c>
      <c r="E2" s="9">
        <f>C2-D2</f>
        <v/>
      </c>
      <c r="F2" s="11">
        <f>SUMIF(Pages!B$2:B$102,A2,Pages!Q$2:Q$102)</f>
        <v/>
      </c>
    </row>
    <row r="3" ht="15" customHeight="1" s="7">
      <c r="A3" s="9" t="n">
        <v>2</v>
      </c>
      <c r="B3" s="12" t="n">
        <v>46319</v>
      </c>
      <c r="C3" s="9">
        <f>COUNTIF(Pages!B$2:B$102,A3)</f>
        <v/>
      </c>
      <c r="D3" s="9">
        <f>COUNTIFS(Pages!B$2:B$102,A3,Pages!S$2:S$102,"Live")</f>
        <v/>
      </c>
      <c r="E3" s="9">
        <f>C3-D3</f>
        <v/>
      </c>
      <c r="F3" s="11">
        <f>SUMIF(Pages!B$2:B$102,A3,Pages!Q$2:Q$102)</f>
        <v/>
      </c>
    </row>
    <row r="4" ht="15" customHeight="1" s="7">
      <c r="A4" s="9" t="n">
        <v>3</v>
      </c>
      <c r="B4" s="12" t="n">
        <v>46320</v>
      </c>
      <c r="C4" s="9">
        <f>COUNTIF(Pages!B$2:B$102,A4)</f>
        <v/>
      </c>
      <c r="D4" s="9">
        <f>COUNTIFS(Pages!B$2:B$102,A4,Pages!S$2:S$102,"Live")</f>
        <v/>
      </c>
      <c r="E4" s="9">
        <f>C4-D4</f>
        <v/>
      </c>
      <c r="F4" s="11">
        <f>SUMIF(Pages!B$2:B$102,A4,Pages!Q$2:Q$102)</f>
        <v/>
      </c>
    </row>
    <row r="5" ht="15" customHeight="1" s="7">
      <c r="A5" s="9" t="n">
        <v>4</v>
      </c>
      <c r="B5" s="12" t="n">
        <v>46321</v>
      </c>
      <c r="C5" s="9">
        <f>COUNTIF(Pages!B$2:B$102,A5)</f>
        <v/>
      </c>
      <c r="D5" s="9">
        <f>COUNTIFS(Pages!B$2:B$102,A5,Pages!S$2:S$102,"Live")</f>
        <v/>
      </c>
      <c r="E5" s="9">
        <f>C5-D5</f>
        <v/>
      </c>
      <c r="F5" s="11">
        <f>SUMIF(Pages!B$2:B$102,A5,Pages!Q$2:Q$102)</f>
        <v/>
      </c>
    </row>
    <row r="6" ht="15" customHeight="1" s="7">
      <c r="A6" s="9" t="n">
        <v>5</v>
      </c>
      <c r="B6" s="12" t="n">
        <v>46322</v>
      </c>
      <c r="C6" s="9">
        <f>COUNTIF(Pages!B$2:B$102,A6)</f>
        <v/>
      </c>
      <c r="D6" s="9">
        <f>COUNTIFS(Pages!B$2:B$102,A6,Pages!S$2:S$102,"Live")</f>
        <v/>
      </c>
      <c r="E6" s="9">
        <f>C6-D6</f>
        <v/>
      </c>
      <c r="F6" s="11">
        <f>SUMIF(Pages!B$2:B$102,A6,Pages!Q$2:Q$102)</f>
        <v/>
      </c>
    </row>
    <row r="7" ht="15" customHeight="1" s="7">
      <c r="A7" s="9" t="inlineStr">
        <is>
          <t>Total</t>
        </is>
      </c>
      <c r="B7" s="9" t="n"/>
      <c r="C7" s="9">
        <f>SUM(C2:C6)</f>
        <v/>
      </c>
      <c r="D7" s="9">
        <f>SUM(D2:D6)</f>
        <v/>
      </c>
      <c r="E7" s="9">
        <f>SUM(E2:E6)</f>
        <v/>
      </c>
      <c r="F7" s="11">
        <f>SUM(F2:F6)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6" min="1" max="1"/>
    <col width="80" customWidth="1" style="6" min="2" max="2"/>
    <col width="50" customWidth="1" style="6" min="3" max="3"/>
    <col width="14" customWidth="1" style="6" min="4" max="4"/>
  </cols>
  <sheetData>
    <row r="1" ht="23.85" customHeight="1" s="7">
      <c r="A1" s="8" t="inlineStr">
        <is>
          <t>Widget</t>
        </is>
      </c>
      <c r="B1" s="8" t="inlineStr">
        <is>
          <t>What it does</t>
        </is>
      </c>
      <c r="C1" s="8" t="inlineStr">
        <is>
          <t>Pages using it (IDs)</t>
        </is>
      </c>
      <c r="D1" s="8" t="inlineStr">
        <is>
          <t>Number of pages</t>
        </is>
      </c>
    </row>
    <row r="2" ht="23.85" customHeight="1" s="7">
      <c r="A2" s="9" t="inlineStr">
        <is>
          <t>tfsa-room</t>
        </is>
      </c>
      <c r="B2" s="9" t="inlineStr">
        <is>
          <t>TFSA room from birth year, year became a resident, non-resident years, contributions and withdrawals; shows room now, room next January 1, and a year-by-year table</t>
        </is>
      </c>
      <c r="C2" s="9" t="inlineStr">
        <is>
          <t>1, 10, 20, 28, 29, 30, 52, 56</t>
        </is>
      </c>
      <c r="D2" s="9">
        <f>IF(C2="",0,LEN(C2)-LEN(SUBSTITUTE(C2,",",""))+1)</f>
        <v/>
      </c>
    </row>
    <row r="3" ht="15" customHeight="1" s="7">
      <c r="A3" s="9" t="inlineStr">
        <is>
          <t>tfsa-overcontribution</t>
        </is>
      </c>
      <c r="B3" s="9" t="inlineStr">
        <is>
          <t>1% a month tax on an excess TFSA amount</t>
        </is>
      </c>
      <c r="C3" s="9" t="inlineStr">
        <is>
          <t>20, 28, 30, 98</t>
        </is>
      </c>
      <c r="D3" s="9">
        <f>IF(C3="",0,LEN(C3)-LEN(SUBSTITUTE(C3,",",""))+1)</f>
        <v/>
      </c>
    </row>
    <row r="4" ht="15" customHeight="1" s="7">
      <c r="A4" s="9" t="inlineStr">
        <is>
          <t>rrsp-room</t>
        </is>
      </c>
      <c r="B4" s="9" t="inlineStr">
        <is>
          <t>2026 RRSP deduction limit from earned income, pension adjustment, carry-forward</t>
        </is>
      </c>
      <c r="C4" s="9" t="inlineStr">
        <is>
          <t>21, 32, 33</t>
        </is>
      </c>
      <c r="D4" s="9">
        <f>IF(C4="",0,LEN(C4)-LEN(SUBSTITUTE(C4,",",""))+1)</f>
        <v/>
      </c>
    </row>
    <row r="5" ht="15" customHeight="1" s="7">
      <c r="A5" s="9" t="inlineStr">
        <is>
          <t>rrsp-refund</t>
        </is>
      </c>
      <c r="B5" s="9" t="inlineStr">
        <is>
          <t>Tax saved by an RRSP deduction in any province, 2026 brackets</t>
        </is>
      </c>
      <c r="C5" s="9" t="inlineStr">
        <is>
          <t>21, 32, 57, 91</t>
        </is>
      </c>
      <c r="D5" s="9">
        <f>IF(C5="",0,LEN(C5)-LEN(SUBSTITUTE(C5,",",""))+1)</f>
        <v/>
      </c>
    </row>
    <row r="6" ht="15" customHeight="1" s="7">
      <c r="A6" s="9" t="inlineStr">
        <is>
          <t>income-tax</t>
        </is>
      </c>
      <c r="B6" s="9" t="inlineStr">
        <is>
          <t>2026 federal and provincial tax, marginal rates by income type</t>
        </is>
      </c>
      <c r="C6" s="9" t="inlineStr">
        <is>
          <t>16, 24, 26</t>
        </is>
      </c>
      <c r="D6" s="9">
        <f>IF(C6="",0,LEN(C6)-LEN(SUBSTITUTE(C6,",",""))+1)</f>
        <v/>
      </c>
    </row>
    <row r="7" ht="15" customHeight="1" s="7">
      <c r="A7" s="9" t="inlineStr">
        <is>
          <t>capital-gains</t>
        </is>
      </c>
      <c r="B7" s="9" t="inlineStr">
        <is>
          <t>Tax on a capital gain, loss carry-forward</t>
        </is>
      </c>
      <c r="C7" s="9" t="inlineStr">
        <is>
          <t>26</t>
        </is>
      </c>
      <c r="D7" s="9">
        <f>IF(C7="",0,LEN(C7)-LEN(SUBSTITUTE(C7,",",""))+1)</f>
        <v/>
      </c>
    </row>
    <row r="8" ht="15" customHeight="1" s="7">
      <c r="A8" s="9" t="inlineStr">
        <is>
          <t>dividend-tax</t>
        </is>
      </c>
      <c r="B8" s="9" t="inlineStr">
        <is>
          <t>Tax on eligible and other than eligible dividends</t>
        </is>
      </c>
      <c r="C8" s="9" t="inlineStr">
        <is>
          <t>26</t>
        </is>
      </c>
      <c r="D8" s="9">
        <f>IF(C8="",0,LEN(C8)-LEN(SUBSTITUTE(C8,",",""))+1)</f>
        <v/>
      </c>
    </row>
    <row r="9" ht="15" customHeight="1" s="7">
      <c r="A9" s="9" t="inlineStr">
        <is>
          <t>fhsa-room</t>
        </is>
      </c>
      <c r="B9" s="9" t="inlineStr">
        <is>
          <t>FHSA participation room by year opened and contributions, lifetime room, closing date</t>
        </is>
      </c>
      <c r="C9" s="9" t="inlineStr">
        <is>
          <t>22, 35, 51, 58, 93</t>
        </is>
      </c>
      <c r="D9" s="9">
        <f>IF(C9="",0,LEN(C9)-LEN(SUBSTITUTE(C9,",",""))+1)</f>
        <v/>
      </c>
    </row>
    <row r="10" ht="15" customHeight="1" s="7">
      <c r="A10" s="9" t="inlineStr">
        <is>
          <t>fhsa-eligibility</t>
        </is>
      </c>
      <c r="B10" s="9" t="inlineStr">
        <is>
          <t>Four-question FHSA eligibility check</t>
        </is>
      </c>
      <c r="C10" s="9" t="inlineStr">
        <is>
          <t>22, 35, 36</t>
        </is>
      </c>
      <c r="D10" s="9">
        <f>IF(C10="",0,LEN(C10)-LEN(SUBSTITUTE(C10,",",""))+1)</f>
        <v/>
      </c>
    </row>
    <row r="11" ht="15" customHeight="1" s="7">
      <c r="A11" s="9" t="inlineStr">
        <is>
          <t>resp-grant</t>
        </is>
      </c>
      <c r="B11" s="9" t="inlineStr">
        <is>
          <t>CESG, Additional CESG, Canada Learning Bond, BC and Quebec grants, projection to 17</t>
        </is>
      </c>
      <c r="C11" s="9" t="inlineStr">
        <is>
          <t>23, 37, 38, 59, 70</t>
        </is>
      </c>
      <c r="D11" s="9">
        <f>IF(C11="",0,LEN(C11)-LEN(SUBSTITUTE(C11,",",""))+1)</f>
        <v/>
      </c>
    </row>
    <row r="12" ht="15" customHeight="1" s="7">
      <c r="A12" s="9" t="inlineStr">
        <is>
          <t>rrif-minimum</t>
        </is>
      </c>
      <c r="B12" s="9" t="inlineStr">
        <is>
          <t>RRIF minimum withdrawal and projection</t>
        </is>
      </c>
      <c r="C12" s="9" t="inlineStr">
        <is>
          <t>24, 39, 57, 71, 72</t>
        </is>
      </c>
      <c r="D12" s="9">
        <f>IF(C12="",0,LEN(C12)-LEN(SUBSTITUTE(C12,",",""))+1)</f>
        <v/>
      </c>
    </row>
    <row r="13" ht="15" customHeight="1" s="7">
      <c r="A13" s="9" t="inlineStr">
        <is>
          <t>hbp-repayment</t>
        </is>
      </c>
      <c r="B13" s="9" t="inlineStr">
        <is>
          <t>Home Buyers' Plan repayment schedule</t>
        </is>
      </c>
      <c r="C13" s="9" t="inlineStr">
        <is>
          <t>34, 92</t>
        </is>
      </c>
      <c r="D13" s="9">
        <f>IF(C13="",0,LEN(C13)-LEN(SUBSTITUTE(C13,",",""))+1)</f>
        <v/>
      </c>
    </row>
    <row r="14" ht="15" customHeight="1" s="7">
      <c r="A14" s="9" t="inlineStr">
        <is>
          <t>first-home</t>
        </is>
      </c>
      <c r="B14" s="9" t="inlineStr">
        <is>
          <t>FHSA plus Home Buyers' Plan funds for one buyer or a couple</t>
        </is>
      </c>
      <c r="C14" s="9" t="inlineStr">
        <is>
          <t>22, 34, 35, 58, 92, 93</t>
        </is>
      </c>
      <c r="D14" s="9">
        <f>IF(C14="",0,LEN(C14)-LEN(SUBSTITUTE(C14,",",""))+1)</f>
        <v/>
      </c>
    </row>
    <row r="15" ht="15" customHeight="1" s="7">
      <c r="A15" s="9" t="inlineStr">
        <is>
          <t>tfsa-vs-rrsp</t>
        </is>
      </c>
      <c r="B15" s="9" t="inlineStr">
        <is>
          <t>After-tax comparison using marginal rates now and later</t>
        </is>
      </c>
      <c r="C15" s="9" t="inlineStr">
        <is>
          <t>91</t>
        </is>
      </c>
      <c r="D15" s="9">
        <f>IF(C15="",0,LEN(C15)-LEN(SUBSTITUTE(C15,",",""))+1)</f>
        <v/>
      </c>
    </row>
    <row r="16" ht="15" customHeight="1" s="7">
      <c r="A16" s="9" t="inlineStr">
        <is>
          <t>account-chooser</t>
        </is>
      </c>
      <c r="B16" s="9" t="inlineStr">
        <is>
          <t>Which registered accounts fit a goal (general information)</t>
        </is>
      </c>
      <c r="C16" s="9" t="inlineStr">
        <is>
          <t>1, 10, 19, 96</t>
        </is>
      </c>
      <c r="D16" s="9">
        <f>IF(C16="",0,LEN(C16)-LEN(SUBSTITUTE(C16,",",""))+1)</f>
        <v/>
      </c>
    </row>
    <row r="17" ht="15" customHeight="1" s="7">
      <c r="A17" s="9" t="inlineStr">
        <is>
          <t>us-withholding</t>
        </is>
      </c>
      <c r="B17" s="9" t="inlineStr">
        <is>
          <t>US dividend withholding by Canadian account type</t>
        </is>
      </c>
      <c r="C17" s="9" t="inlineStr">
        <is>
          <t>18, 31, 60, 68, 69, 95</t>
        </is>
      </c>
      <c r="D17" s="9">
        <f>IF(C17="",0,LEN(C17)-LEN(SUBSTITUTE(C17,",",""))+1)</f>
        <v/>
      </c>
    </row>
    <row r="18" ht="15" customHeight="1" s="7">
      <c r="A18" s="9" t="inlineStr">
        <is>
          <t>fx-cost</t>
        </is>
      </c>
      <c r="B18" s="9" t="inlineStr">
        <is>
          <t>Currency conversion cost at every broker</t>
        </is>
      </c>
      <c r="C18" s="9" t="inlineStr">
        <is>
          <t>18, 27, 31, 41, 47, 50, 60, 64, 68, 69, 76, 78, 86, 87, 95, 97</t>
        </is>
      </c>
      <c r="D18" s="9">
        <f>IF(C18="",0,LEN(C18)-LEN(SUBSTITUTE(C18,",",""))+1)</f>
        <v/>
      </c>
    </row>
    <row r="19" ht="15" customHeight="1" s="7">
      <c r="A19" s="9" t="inlineStr">
        <is>
          <t>norberts-gambit</t>
        </is>
      </c>
      <c r="B19" s="9" t="inlineStr">
        <is>
          <t>Norbert's Gambit vs broker conversion</t>
        </is>
      </c>
      <c r="C19" s="9" t="inlineStr">
        <is>
          <t>27, 64, 95, 97</t>
        </is>
      </c>
      <c r="D19" s="9">
        <f>IF(C19="",0,LEN(C19)-LEN(SUBSTITUTE(C19,",",""))+1)</f>
        <v/>
      </c>
    </row>
    <row r="20" ht="23.85" customHeight="1" s="7">
      <c r="A20" s="9" t="inlineStr">
        <is>
          <t>broker-cost</t>
        </is>
      </c>
      <c r="B20" s="9" t="inlineStr">
        <is>
          <t>Yearly cost at every broker for a trading pattern</t>
        </is>
      </c>
      <c r="C20" s="9" t="inlineStr">
        <is>
          <t>11, 13, 40, 41, 53, 56, 57, 58, 61, 78, 79, 80, 81, 82, 83, 84, 86, 87, 88, 90</t>
        </is>
      </c>
      <c r="D20" s="9">
        <f>IF(C20="",0,LEN(C20)-LEN(SUBSTITUTE(C20,",",""))+1)</f>
        <v/>
      </c>
    </row>
    <row r="21" ht="15" customHeight="1" s="7">
      <c r="A21" s="9" t="inlineStr">
        <is>
          <t>options-cost</t>
        </is>
      </c>
      <c r="B21" s="9" t="inlineStr">
        <is>
          <t>Yearly options commissions by broker</t>
        </is>
      </c>
      <c r="C21" s="9" t="inlineStr">
        <is>
          <t>65, 82, 90</t>
        </is>
      </c>
      <c r="D21" s="9">
        <f>IF(C21="",0,LEN(C21)-LEN(SUBSTITUTE(C21,",",""))+1)</f>
        <v/>
      </c>
    </row>
    <row r="22" ht="15" customHeight="1" s="7">
      <c r="A22" s="9" t="inlineStr">
        <is>
          <t>margin-interest</t>
        </is>
      </c>
      <c r="B22" s="9" t="inlineStr">
        <is>
          <t>Margin interest by broker</t>
        </is>
      </c>
      <c r="C22" s="9" t="inlineStr">
        <is>
          <t>66, 79</t>
        </is>
      </c>
      <c r="D22" s="9">
        <f>IF(C22="",0,LEN(C22)-LEN(SUBSTITUTE(C22,",",""))+1)</f>
        <v/>
      </c>
    </row>
    <row r="23" ht="15" customHeight="1" s="7">
      <c r="A23" s="9" t="inlineStr">
        <is>
          <t>robo-fee</t>
        </is>
      </c>
      <c r="B23" s="9" t="inlineStr">
        <is>
          <t>Yearly robo-advisor fees for an amount</t>
        </is>
      </c>
      <c r="C23" s="9" t="inlineStr">
        <is>
          <t>42, 54, 56, 59, 84</t>
        </is>
      </c>
      <c r="D23" s="9">
        <f>IF(C23="",0,LEN(C23)-LEN(SUBSTITUTE(C23,",",""))+1)</f>
        <v/>
      </c>
    </row>
    <row r="24" ht="15" customHeight="1" s="7">
      <c r="A24" s="9" t="inlineStr">
        <is>
          <t>fee-drag</t>
        </is>
      </c>
      <c r="B24" s="9" t="inlineStr">
        <is>
          <t>What a higher fee costs over time</t>
        </is>
      </c>
      <c r="C24" s="9" t="inlineStr">
        <is>
          <t>25, 42, 54, 96</t>
        </is>
      </c>
      <c r="D24" s="9">
        <f>IF(C24="",0,LEN(C24)-LEN(SUBSTITUTE(C24,",",""))+1)</f>
        <v/>
      </c>
    </row>
    <row r="25" ht="15" customHeight="1" s="7">
      <c r="A25" s="9" t="inlineStr">
        <is>
          <t>compound-interest</t>
        </is>
      </c>
      <c r="B25" s="9" t="inlineStr">
        <is>
          <t>Growth with monthly contributions, year-by-year</t>
        </is>
      </c>
      <c r="C25" s="9" t="inlineStr">
        <is>
          <t>19, 20, 23, 25, 63, 96</t>
        </is>
      </c>
      <c r="D25" s="9">
        <f>IF(C25="",0,LEN(C25)-LEN(SUBSTITUTE(C25,",",""))+1)</f>
        <v/>
      </c>
    </row>
    <row r="26" ht="15" customHeight="1" s="7">
      <c r="A26" s="9" t="inlineStr">
        <is>
          <t>savings-goal</t>
        </is>
      </c>
      <c r="B26" s="9" t="inlineStr">
        <is>
          <t>Monthly saving needed for a target</t>
        </is>
      </c>
      <c r="C26" s="9" t="inlineStr">
        <is>
          <t>14, 25, 37, 75</t>
        </is>
      </c>
      <c r="D26" s="9">
        <f>IF(C26="",0,LEN(C26)-LEN(SUBSTITUTE(C26,",",""))+1)</f>
        <v/>
      </c>
    </row>
    <row r="27" ht="15" customHeight="1" s="7">
      <c r="A27" s="9" t="inlineStr">
        <is>
          <t>gic-calc</t>
        </is>
      </c>
      <c r="B27" s="9" t="inlineStr">
        <is>
          <t>GIC maturity value and tax</t>
        </is>
      </c>
      <c r="C27" s="9" t="inlineStr">
        <is>
          <t>14, 77, 85, 94</t>
        </is>
      </c>
      <c r="D27" s="9">
        <f>IF(C27="",0,LEN(C27)-LEN(SUBSTITUTE(C27,",",""))+1)</f>
        <v/>
      </c>
    </row>
    <row r="28" ht="15" customHeight="1" s="7">
      <c r="A28" s="9" t="inlineStr">
        <is>
          <t>gic-ladder</t>
        </is>
      </c>
      <c r="B28" s="9" t="inlineStr">
        <is>
          <t>1 to 5-year GIC ladder</t>
        </is>
      </c>
      <c r="C28" s="9" t="inlineStr">
        <is>
          <t>77</t>
        </is>
      </c>
      <c r="D28" s="9">
        <f>IF(C28="",0,LEN(C28)-LEN(SUBSTITUTE(C28,",",""))+1)</f>
        <v/>
      </c>
    </row>
    <row r="29" ht="15" customHeight="1" s="7">
      <c r="A29" s="9" t="inlineStr">
        <is>
          <t>hisa-earnings</t>
        </is>
      </c>
      <c r="B29" s="9" t="inlineStr">
        <is>
          <t>Interest at each savings account (or USD account)</t>
        </is>
      </c>
      <c r="C29" s="9" t="inlineStr">
        <is>
          <t>14, 50, 75, 76, 85, 89, 94</t>
        </is>
      </c>
      <c r="D29" s="9">
        <f>IF(C29="",0,LEN(C29)-LEN(SUBSTITUTE(C29,",",""))+1)</f>
        <v/>
      </c>
    </row>
    <row r="30" ht="15" customHeight="1" s="7">
      <c r="A30" s="9" t="inlineStr">
        <is>
          <t>card-cashback</t>
        </is>
      </c>
      <c r="B30" s="9" t="inlineStr">
        <is>
          <t>Net cash back after card fees</t>
        </is>
      </c>
      <c r="C30" s="9" t="inlineStr">
        <is>
          <t>44</t>
        </is>
      </c>
      <c r="D30" s="9">
        <f>IF(C30="",0,LEN(C30)-LEN(SUBSTITUTE(C30,",",""))+1)</f>
        <v/>
      </c>
    </row>
    <row r="31" ht="15" customHeight="1" s="7">
      <c r="A31" s="9" t="inlineStr">
        <is>
          <t>deposit-insurance</t>
        </is>
      </c>
      <c r="B31" s="9" t="inlineStr">
        <is>
          <t>CDIC coverage by deposit category</t>
        </is>
      </c>
      <c r="C31" s="9" t="inlineStr">
        <is>
          <t>15, 43, 48, 73, 75, 77</t>
        </is>
      </c>
      <c r="D31" s="9">
        <f>IF(C31="",0,LEN(C31)-LEN(SUBSTITUTE(C31,",",""))+1)</f>
        <v/>
      </c>
    </row>
    <row r="32" ht="15" customHeight="1" s="7">
      <c r="A32" s="9" t="inlineStr">
        <is>
          <t>chequing-cost</t>
        </is>
      </c>
      <c r="B32" s="9" t="inlineStr">
        <is>
          <t>Yearly fees and interest at each chequing account</t>
        </is>
      </c>
      <c r="C32" s="9" t="inlineStr">
        <is>
          <t>15, 43, 73, 74, 89</t>
        </is>
      </c>
      <c r="D32" s="9">
        <f>IF(C32="",0,LEN(C32)-LEN(SUBSTITUTE(C32,",",""))+1)</f>
        <v/>
      </c>
    </row>
    <row r="33" ht="15" customHeight="1" s="7">
      <c r="A33" s="9" t="inlineStr">
        <is>
          <t>crypto-fee</t>
        </is>
      </c>
      <c r="B33" s="9" t="inlineStr">
        <is>
          <t>Trading fees at each authorized crypto platform</t>
        </is>
      </c>
      <c r="C33" s="9" t="inlineStr">
        <is>
          <t>45, 62</t>
        </is>
      </c>
      <c r="D33" s="9">
        <f>IF(C33="",0,LEN(C33)-LEN(SUBSTITUTE(C33,",",""))+1)</f>
        <v/>
      </c>
    </row>
    <row r="34" ht="15" customHeight="1" s="7">
      <c r="A34" s="9" t="inlineStr">
        <is>
          <t>ws-tier</t>
        </is>
      </c>
      <c r="B34" s="9" t="inlineStr">
        <is>
          <t>Wealthsimple tier and perks by assets</t>
        </is>
      </c>
      <c r="C34" s="9" t="inlineStr">
        <is>
          <t>40, 46, 47, 49</t>
        </is>
      </c>
      <c r="D34" s="9">
        <f>IF(C34="",0,LEN(C34)-LEN(SUBSTITUTE(C34,",",""))+1)</f>
        <v/>
      </c>
    </row>
    <row r="35" ht="15" customHeight="1" s="7">
      <c r="A35" s="9" t="inlineStr">
        <is>
          <t>benefit-dates</t>
        </is>
      </c>
      <c r="B35" s="9" t="inlineStr">
        <is>
          <t>Next payment date countdown and full schedule</t>
        </is>
      </c>
      <c r="C35" s="9" t="inlineStr">
        <is>
          <t>1, 17, 99, 100</t>
        </is>
      </c>
      <c r="D35" s="9">
        <f>IF(C35="",0,LEN(C35)-LEN(SUBSTITUTE(C35,",",""))+1)</f>
        <v/>
      </c>
    </row>
    <row r="36" ht="15" customHeight="1" s="7">
      <c r="A36" s="9" t="inlineStr">
        <is>
          <t>oas-clawback</t>
        </is>
      </c>
      <c r="B36" s="9" t="inlineStr">
        <is>
          <t>OAS recovery tax</t>
        </is>
      </c>
      <c r="C36" s="9" t="inlineStr">
        <is>
          <t>17, 24, 39, 71, 99</t>
        </is>
      </c>
      <c r="D36" s="9">
        <f>IF(C36="",0,LEN(C36)-LEN(SUBSTITUTE(C36,",",""))+1)</f>
        <v/>
      </c>
    </row>
    <row r="37" ht="15" customHeight="1" s="7">
      <c r="A37" s="9" t="inlineStr">
        <is>
          <t>cpp-start-age</t>
        </is>
      </c>
      <c r="B37" s="9" t="inlineStr">
        <is>
          <t>CPP and OAS by start age 60 to 70</t>
        </is>
      </c>
      <c r="C37" s="9" t="inlineStr">
        <is>
          <t>99</t>
        </is>
      </c>
      <c r="D37" s="9">
        <f>IF(C37="",0,LEN(C37)-LEN(SUBSTITUTE(C37,",",""))+1)</f>
        <v/>
      </c>
    </row>
    <row r="38" ht="15" customHeight="1" s="7">
      <c r="A38" s="9" t="inlineStr">
        <is>
          <t>gst-credit</t>
        </is>
      </c>
      <c r="B38" s="9" t="inlineStr">
        <is>
          <t>GST/HST credit estimate</t>
        </is>
      </c>
      <c r="C38" s="9" t="inlineStr">
        <is>
          <t>17, 100</t>
        </is>
      </c>
      <c r="D38" s="9">
        <f>IF(C38="",0,LEN(C38)-LEN(SUBSTITUTE(C38,",",""))+1)</f>
        <v/>
      </c>
    </row>
    <row r="39" ht="15" customHeight="1" s="7">
      <c r="A39" s="9" t="inlineStr">
        <is>
          <t>rrsp-withdrawal</t>
        </is>
      </c>
      <c r="B39" s="9" t="inlineStr">
        <is>
          <t>Withholding tax and final tax on an RRSP withdrawal</t>
        </is>
      </c>
      <c r="C39" s="9" t="inlineStr">
        <is>
          <t>21, 32, 98</t>
        </is>
      </c>
      <c r="D39" s="9">
        <f>IF(C39="",0,LEN(C39)-LEN(SUBSTITUTE(C39,",",""))+1)</f>
        <v/>
      </c>
    </row>
    <row r="40" ht="15" customHeight="1" s="7">
      <c r="A40" s="9" t="inlineStr">
        <is>
          <t>tax-software-picker</t>
        </is>
      </c>
      <c r="B40" s="9" t="inlineStr">
        <is>
          <t>Tax software that fits a return</t>
        </is>
      </c>
      <c r="C40" s="9" t="inlineStr">
        <is>
          <t>46, 67</t>
        </is>
      </c>
      <c r="D40" s="9">
        <f>IF(C40="",0,LEN(C40)-LEN(SUBSTITUTE(C40,",",""))+1)</f>
        <v/>
      </c>
    </row>
    <row r="41" ht="15" customHeight="1" s="7">
      <c r="A41" s="9" t="inlineStr">
        <is>
          <t>broker-match</t>
        </is>
      </c>
      <c r="B41" s="9" t="inlineStr">
        <is>
          <t>Filter brokers by features, ranked by score</t>
        </is>
      </c>
      <c r="C41" s="9" t="inlineStr">
        <is>
          <t>9, 11, 12, 53, 55, 63</t>
        </is>
      </c>
      <c r="D41" s="9">
        <f>IF(C41="",0,LEN(C41)-LEN(SUBSTITUTE(C41,",",""))+1)</f>
        <v/>
      </c>
    </row>
    <row r="42" ht="15" customHeight="1" s="7">
      <c r="A42" s="9" t="inlineStr">
        <is>
          <t>transfer-fee</t>
        </is>
      </c>
      <c r="B42" s="9" t="inlineStr">
        <is>
          <t>Transfer-out fees and which brokers cover them</t>
        </is>
      </c>
      <c r="C42" s="9" t="inlineStr">
        <is>
          <t>47, 70, 72, 83, 98</t>
        </is>
      </c>
      <c r="D42" s="9">
        <f>IF(C42="",0,LEN(C42)-LEN(SUBSTITUTE(C42,",",""))+1)</f>
        <v/>
      </c>
    </row>
    <row r="43" ht="15" customHeight="1" s="7">
      <c r="A43" s="9" t="inlineStr">
        <is>
          <t>countdown</t>
        </is>
      </c>
      <c r="B43" s="9" t="inlineStr">
        <is>
          <t>Days to a deadline</t>
        </is>
      </c>
      <c r="C43" s="9" t="inlineStr">
        <is>
          <t>32, 33, 38</t>
        </is>
      </c>
      <c r="D43" s="9">
        <f>IF(C43="",0,LEN(C43)-LEN(SUBSTITUTE(C43,",",""))+1)</f>
        <v/>
      </c>
    </row>
    <row r="44" ht="35.05" customHeight="1" s="7">
      <c r="A44" s="9" t="inlineStr">
        <is>
          <t>table-filter</t>
        </is>
      </c>
      <c r="B44" s="9" t="inlineStr">
        <is>
          <t>Wrap a static table: `&lt;div data-ws-widget="table-filter"&gt;&lt;div class="ws-table-wrap"&gt;&lt;table&gt;...&lt;/table&gt;&lt;/div&gt;&lt;/div&gt;` adds search and sorting</t>
        </is>
      </c>
      <c r="C44" s="9" t="inlineStr">
        <is>
          <t>10, 11, 15, 18, 19, 21, 22, 24, 33, 36, 39, 47, 53, 54, 55, 56, 57, 58, 59, 60, 61, 62, 63, 64, 65, 66, 67, 68, 69, 70, 71, 72, 73, 74, 98</t>
        </is>
      </c>
      <c r="D44" s="9">
        <f>IF(C44="",0,LEN(C44)-LEN(SUBSTITUTE(C44,",",""))+1)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6" min="1" max="1"/>
    <col width="80" customWidth="1" style="6" min="2" max="2"/>
    <col width="12" customWidth="1" style="6" min="3" max="3"/>
    <col width="60" customWidth="1" style="6" min="4" max="4"/>
    <col width="10" customWidth="1" style="6" min="5" max="5"/>
  </cols>
  <sheetData>
    <row r="1" ht="15" customHeight="1" s="7">
      <c r="A1" s="8" t="inlineStr">
        <is>
          <t>#</t>
        </is>
      </c>
      <c r="B1" s="8" t="inlineStr">
        <is>
          <t>Item</t>
        </is>
      </c>
      <c r="C1" s="8" t="inlineStr">
        <is>
          <t>Owner</t>
        </is>
      </c>
      <c r="D1" s="8" t="inlineStr">
        <is>
          <t>Why it matters</t>
        </is>
      </c>
      <c r="E1" s="8" t="inlineStr">
        <is>
          <t>Status</t>
        </is>
      </c>
    </row>
    <row r="2" ht="35.05" customHeight="1" s="7">
      <c r="A2" s="9" t="n">
        <v>1</v>
      </c>
      <c r="B2" s="9" t="inlineStr">
        <is>
          <t>Confirm the two rates the grocery benefit calculator uses: single supplement phase-in of 2% of net income above $11,564, and reduction of 5% of family net income above $46,432. CRA pages opened showed the thresholds but not the rates. Page text does not state the rates.</t>
        </is>
      </c>
      <c r="C2" s="9" t="inlineStr">
        <is>
          <t>Sharad</t>
        </is>
      </c>
      <c r="D2" s="9" t="inlineStr">
        <is>
          <t>The calculator shows an estimate for incomes above the thresholds.</t>
        </is>
      </c>
      <c r="E2" s="9" t="inlineStr">
        <is>
          <t>Open</t>
        </is>
      </c>
    </row>
    <row r="3" ht="35.05" customHeight="1" s="7">
      <c r="A3" s="9" t="n">
        <v>2</v>
      </c>
      <c r="B3" s="9" t="inlineStr">
        <is>
          <t>Confirm the wording that RRSPs, RRIFs, LIRAs and LIFs are exempt from US withholding on dividends from US-listed securities held directly (Canada-US tax treaty, Article XXI), and that TFSAs, FHSAs and RESPs are not.</t>
        </is>
      </c>
      <c r="C3" s="9" t="inlineStr">
        <is>
          <t>Sharad</t>
        </is>
      </c>
      <c r="D3" s="9" t="inlineStr">
        <is>
          <t>Stated on the US stocks, TFSA, RRSP and listing pages and in the US withholding calculator.</t>
        </is>
      </c>
      <c r="E3" s="9" t="inlineStr">
        <is>
          <t>Open</t>
        </is>
      </c>
    </row>
    <row r="4" ht="23.85" customHeight="1" s="7">
      <c r="A4" s="9" t="n">
        <v>3</v>
      </c>
      <c r="B4" s="9" t="inlineStr">
        <is>
          <t>Confirm the 2026 capital gains inclusion rate of one half (CRA confirms one half through 2025; the proposed two-thirds increase did not take effect).</t>
        </is>
      </c>
      <c r="C4" s="9" t="inlineStr">
        <is>
          <t>Sharad</t>
        </is>
      </c>
      <c r="D4" s="9" t="inlineStr">
        <is>
          <t>Used by the capital gains and income tax calculators and stated on page 26.</t>
        </is>
      </c>
      <c r="E4" s="9" t="inlineStr">
        <is>
          <t>Open</t>
        </is>
      </c>
    </row>
    <row r="5" ht="35.05" customHeight="1" s="7">
      <c r="A5" s="9" t="n">
        <v>4</v>
      </c>
      <c r="B5" s="9" t="inlineStr">
        <is>
          <t>Manitoba 2026 bracket thresholds: CRA payroll tables show $47,000 and $100,000; CRA's rates page shows $47,564 and $101,200. Calculators use the payroll values with a note; Manitoba is left out of computed tables.</t>
        </is>
      </c>
      <c r="C5" s="9" t="inlineStr">
        <is>
          <t>Sharad</t>
        </is>
      </c>
      <c r="D5" s="9" t="inlineStr">
        <is>
          <t>Decide which figure to publish once the 2026 MB428 form is out.</t>
        </is>
      </c>
      <c r="E5" s="9" t="inlineStr">
        <is>
          <t>Open</t>
        </is>
      </c>
    </row>
    <row r="6" ht="23.85" customHeight="1" s="7">
      <c r="A6" s="9" t="n">
        <v>5</v>
      </c>
      <c r="B6" s="9" t="inlineStr">
        <is>
          <t>Provincial dividend tax credit rates are confirmed only for Ontario, British Columbia and Quebec. The dividend calculators show a 'being confirmed' note for the other 10 provinces and territories.</t>
        </is>
      </c>
      <c r="C6" s="9" t="inlineStr">
        <is>
          <t>Sharad</t>
        </is>
      </c>
      <c r="D6" s="9" t="inlineStr">
        <is>
          <t>Adding the 10 rates turns the dividend calculators on for every province.</t>
        </is>
      </c>
      <c r="E6" s="9" t="inlineStr">
        <is>
          <t>Open</t>
        </is>
      </c>
    </row>
    <row r="7" ht="35.05" customHeight="1" s="7">
      <c r="A7" s="9" t="n">
        <v>6</v>
      </c>
      <c r="B7" s="9" t="inlineStr">
        <is>
          <t>Form and line references used on pages but not in the research registers: Schedule 7 (HBP and RRSP), lines 20800 and 26000, T4 box 52, Forms T2033, T2220, T1213, T3012A and the TFSA Return.</t>
        </is>
      </c>
      <c r="C7" s="9" t="inlineStr">
        <is>
          <t>Sharad</t>
        </is>
      </c>
      <c r="D7" s="9" t="inlineStr">
        <is>
          <t>Quick CPA check of each reference.</t>
        </is>
      </c>
      <c r="E7" s="9" t="inlineStr">
        <is>
          <t>Open</t>
        </is>
      </c>
    </row>
    <row r="8" ht="57.45" customHeight="1" s="7">
      <c r="A8" s="9" t="n">
        <v>7</v>
      </c>
      <c r="B8" s="9" t="inlineStr">
        <is>
          <t>Core rules stated as rules without a register entry: TFSA contributions are not deductible; TFSA withdrawals are not income and do not affect benefits; qualifying FHSA withdrawals are tax-free; RESP educational assistance payments are taxed to the student; RRSP withdrawals do not restore room. The full list of rules left in for CPA review, page by page, is in factcheck-notes.md in this package.</t>
        </is>
      </c>
      <c r="C8" s="9" t="inlineStr">
        <is>
          <t>Sharad</t>
        </is>
      </c>
      <c r="D8" s="9" t="inlineStr">
        <is>
          <t>Standard rules, listed for completeness of the CPA review.</t>
        </is>
      </c>
      <c r="E8" s="9" t="inlineStr">
        <is>
          <t>Open</t>
        </is>
      </c>
    </row>
    <row r="9" ht="23.85" customHeight="1" s="7">
      <c r="A9" s="9" t="n">
        <v>8</v>
      </c>
      <c r="B9" s="9" t="inlineStr">
        <is>
          <t>Quebec provincial withholding on RRSP lump-sum withdrawals: one register shows 14%, the other marks it unverified. Pages state only that Quebec also withholds provincial tax.</t>
        </is>
      </c>
      <c r="C9" s="9" t="inlineStr">
        <is>
          <t>Sharad</t>
        </is>
      </c>
      <c r="D9" s="9" t="inlineStr">
        <is>
          <t>Add the rate to the RRSP pages once confirmed.</t>
        </is>
      </c>
      <c r="E9" s="9" t="inlineStr">
        <is>
          <t>Open</t>
        </is>
      </c>
    </row>
    <row r="10" ht="23.85" customHeight="1" s="7">
      <c r="A10" s="9" t="n">
        <v>9</v>
      </c>
      <c r="B10" s="9" t="inlineStr">
        <is>
          <t>Neha's profile: the approved SEO title is 35 characters (shorter than the 45 to 62 used elsewhere) and her approved schema dates are October 25, 2026 while the page goes live October 23.</t>
        </is>
      </c>
      <c r="C10" s="9" t="inlineStr">
        <is>
          <t>Sharad</t>
        </is>
      </c>
      <c r="D10" s="9" t="inlineStr">
        <is>
          <t>Keep as approved or allow a longer title and the October 23 date.</t>
        </is>
      </c>
      <c r="E10" s="9" t="inlineStr">
        <is>
          <t>Open</t>
        </is>
      </c>
    </row>
    <row r="11" ht="23.85" customHeight="1" s="7">
      <c r="A11" s="9" t="n">
        <v>10</v>
      </c>
      <c r="B11" s="9" t="inlineStr">
        <is>
          <t>Sharad's approved bio: one word changed, 'Canada.ca' to 'the Government of Canada', to follow the no-outside-sites rule.</t>
        </is>
      </c>
      <c r="C11" s="9" t="inlineStr">
        <is>
          <t>Sharad</t>
        </is>
      </c>
      <c r="D11" s="9" t="inlineStr">
        <is>
          <t>Revert if word-for-word wording matters more.</t>
        </is>
      </c>
      <c r="E11" s="9" t="inlineStr">
        <is>
          <t>Open</t>
        </is>
      </c>
    </row>
    <row r="12" ht="23.85" customHeight="1" s="7">
      <c r="A12" s="9" t="n">
        <v>11</v>
      </c>
      <c r="B12" s="9" t="inlineStr">
        <is>
          <t>Neha's headshot is 400 x 400 pixels, below the 800 x 800 minimum in her package. Request a larger original from Neha in the Upwork thread.</t>
        </is>
      </c>
      <c r="C12" s="9" t="inlineStr">
        <is>
          <t>Navneet</t>
        </is>
      </c>
      <c r="D12" s="9" t="inlineStr">
        <is>
          <t>Sharper image on the profile page and in search results.</t>
        </is>
      </c>
      <c r="E12" s="9" t="inlineStr">
        <is>
          <t>Done Oct 22: Sharad confirmed to use the existing headshot (400 and 128 px, uploaded to /ws/people/)</t>
        </is>
      </c>
    </row>
    <row r="13" ht="23.85" customHeight="1" s="7">
      <c r="A13" s="9" t="n">
        <v>12</v>
      </c>
      <c r="B13" s="9" t="inlineStr">
        <is>
          <t>Export Sharad's existing headshot as sharad-gondaliya-cpa-128.jpg and sharad-gondaliya-cpa-400.jpg (square, metadata removed) and upload to /wp-content/uploads/ws/people/.</t>
        </is>
      </c>
      <c r="C13" s="9" t="inlineStr">
        <is>
          <t>Navneet</t>
        </is>
      </c>
      <c r="D13" s="9" t="inlineStr">
        <is>
          <t>Every page shows his photo in the byline and experts block.</t>
        </is>
      </c>
      <c r="E13" s="9" t="inlineStr">
        <is>
          <t>Open</t>
        </is>
      </c>
    </row>
    <row r="14" ht="23.85" customHeight="1" s="7">
      <c r="A14" s="9" t="n">
        <v>13</v>
      </c>
      <c r="B14" s="9" t="inlineStr">
        <is>
          <t>Lawyer review of the privacy policy and terms of use drafts before they replace the live pages on Day 5.</t>
        </is>
      </c>
      <c r="C14" s="9" t="inlineStr">
        <is>
          <t>Navneet</t>
        </is>
      </c>
      <c r="D14" s="9" t="inlineStr">
        <is>
          <t>Legal pages.</t>
        </is>
      </c>
      <c r="E14" s="9" t="inlineStr">
        <is>
          <t>Open</t>
        </is>
      </c>
    </row>
    <row r="15" ht="23.85" customHeight="1" s="7">
      <c r="A15" s="9" t="n">
        <v>14</v>
      </c>
      <c r="B15" s="9" t="inlineStr">
        <is>
          <t>301 redirects in Rank Math for every live URL that is not in the 101-page list (for example any old Retirement or Tax hub URL).</t>
        </is>
      </c>
      <c r="C15" s="9" t="inlineStr">
        <is>
          <t>Navneet</t>
        </is>
      </c>
      <c r="D15" s="9" t="inlineStr">
        <is>
          <t>No 404s for pages Google already found.</t>
        </is>
      </c>
      <c r="E15" s="9" t="inlineStr">
        <is>
          <t>Open</t>
        </is>
      </c>
    </row>
    <row r="16" ht="57.45" customHeight="1" s="7">
      <c r="A16" s="9" t="n">
        <v>15</v>
      </c>
      <c r="B16" s="9" t="inlineStr">
        <is>
          <t>Offers that end soon (update the pages the day after each date): TD Easy Trade October 23; Scotiabank Preferred Package bundle October 29; Manulife 3.00% promo October 30; moomoo, Simplii savings promo and Tangerine payroll offer October 31; Questrade GET1000 and RBC Direct Investing offer November 2; National Bank cashback November 3; RBC eSavings promo October 27.</t>
        </is>
      </c>
      <c r="C16" s="9" t="inlineStr">
        <is>
          <t>Navneet</t>
        </is>
      </c>
      <c r="D16" s="9" t="inlineStr">
        <is>
          <t>Expired offers on a page hurt trust.</t>
        </is>
      </c>
      <c r="E16" s="9" t="inlineStr">
        <is>
          <t>Open</t>
        </is>
      </c>
    </row>
    <row r="17" ht="23.85" customHeight="1" s="7">
      <c r="A17" s="9" t="n">
        <v>16</v>
      </c>
      <c r="B17" s="9" t="inlineStr">
        <is>
          <t>Re-check every Wealthsimple figure within 7 days after Wealthsimple's November 5, 2026 product event, and re-check the CSA list of authorized crypto trading platforms every 7 days.</t>
        </is>
      </c>
      <c r="C17" s="9" t="inlineStr">
        <is>
          <t>Navneet</t>
        </is>
      </c>
      <c r="D17" s="9" t="inlineStr">
        <is>
          <t>Figures may change.</t>
        </is>
      </c>
      <c r="E17" s="9" t="inlineStr">
        <is>
          <t>Open</t>
        </is>
      </c>
    </row>
    <row r="18" ht="23.85" customHeight="1" s="7">
      <c r="A18" s="9" t="n">
        <v>17</v>
      </c>
      <c r="B18" s="9" t="inlineStr">
        <is>
          <t>Re-check rates every week: savings, GIC and USD savings pages; fill the rates marked 'not published' (Tangerine, big-bank GICs, EQ Bank GICs) when the providers publish them in text.</t>
        </is>
      </c>
      <c r="C18" s="9" t="inlineStr">
        <is>
          <t>Navneet</t>
        </is>
      </c>
      <c r="D18" s="9" t="inlineStr">
        <is>
          <t>Rate pages win on freshness.</t>
        </is>
      </c>
      <c r="E18" s="9" t="inlineStr">
        <is>
          <t>Open</t>
        </is>
      </c>
    </row>
    <row r="19" ht="35.05" customHeight="1" s="7">
      <c r="A19" s="9" t="n">
        <v>18</v>
      </c>
      <c r="B19" s="9" t="inlineStr">
        <is>
          <t>Privacy policy and terms drafts: the lawyer sets the retention periods (drafts propose 24 months for messages, 14 months for analytics, 90 days for server logs), any liability cap, and whether a French version is needed for Quebec readers.</t>
        </is>
      </c>
      <c r="C19" s="9" t="inlineStr">
        <is>
          <t>Navneet</t>
        </is>
      </c>
      <c r="D19" s="9" t="inlineStr">
        <is>
          <t>Legal pages go live only after the lawyer's review.</t>
        </is>
      </c>
      <c r="E19" s="9" t="inlineStr">
        <is>
          <t>Open</t>
        </is>
      </c>
    </row>
    <row r="20" ht="35.05" customHeight="1" s="7">
      <c r="A20" s="9" t="n">
        <v>19</v>
      </c>
      <c r="B20" s="9" t="inlineStr">
        <is>
          <t>Neha's approved bio says she reviews 'investing pages'; pages describe her scope as investing and account pages (platforms, brokers, robo-advisors, TFSA, RRSP, FHSA, RESP and bank accounts), per her Upwork contract. Ask Neha to confirm this wording in the Upwork thread.</t>
        </is>
      </c>
      <c r="C20" s="9" t="inlineStr">
        <is>
          <t>Navneet</t>
        </is>
      </c>
      <c r="D20" s="9" t="inlineStr">
        <is>
          <t>Her consent covers the exact wording used about her.</t>
        </is>
      </c>
      <c r="E20" s="9" t="inlineStr">
        <is>
          <t>Done Oct 22: Neha is okay with "investing and account pages" (confirmed via Sharad)</t>
        </is>
      </c>
    </row>
    <row r="21" ht="35.05" customHeight="1" s="7">
      <c r="A21" s="9" t="n">
        <v>20</v>
      </c>
      <c r="B21" s="9" t="inlineStr">
        <is>
          <t>Load Google Analytics (or any analytics tag) only after the visitor accepts cookies. The calculators send a 'calculator used' event with the calculator name only, and the privacy policy promises consent first. The cookie banner must be live before Day 1 pages go public.</t>
        </is>
      </c>
      <c r="C21" s="9" t="inlineStr">
        <is>
          <t>Navneet</t>
        </is>
      </c>
      <c r="D21" s="9" t="inlineStr">
        <is>
          <t>The privacy policy's consent promise must hold on launch day.</t>
        </is>
      </c>
      <c r="E21" s="9"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2026-10-22T12:35:47Z</dcterms:created>
  <dcterms:modified xmlns:dcterms="http://purl.org/dc/terms/" xmlns:xsi="http://www.w3.org/2001/XMLSchema-instance" xsi:type="dcterms:W3CDTF">2026-10-22T19:11:56Z</dcterms:modified>
  <cp:revision>0</cp:revision>
</cp:coreProperties>
</file>