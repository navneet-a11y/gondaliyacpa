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ges" sheetId="1" state="visible" r:id="rId3"/>
    <sheet name="Schedule" sheetId="2" state="visible" r:id="rId4"/>
    <sheet name="First 101 pages (latest)" sheetId="3" state="visible" r:id="rId5"/>
    <sheet name="Remove and redirect" sheetId="4" state="visible" r:id="rId6"/>
    <sheet name="Widgets" sheetId="5" state="visible" r:id="rId7"/>
    <sheet name="Open items" sheetId="6" state="visible" r:id="rId8"/>
  </sheets>
  <definedNames>
    <definedName function="false" hidden="true" localSheetId="0" name="_xlnm._FilterDatabase" vbProcedure="false">Pages!$A$1:$T$101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<sst xmlns="http://schemas.openxmlformats.org/spreadsheetml/2006/main" count="2626" uniqueCount="1739">
  <si>
    <t xml:space="preserve">ID</t>
  </si>
  <si>
    <t xml:space="preserve">Day</t>
  </si>
  <si>
    <t xml:space="preserve">Publish date</t>
  </si>
  <si>
    <t xml:space="preserve">URL</t>
  </si>
  <si>
    <t xml:space="preserve">Parent page</t>
  </si>
  <si>
    <t xml:space="preserve">WP page title</t>
  </si>
  <si>
    <t xml:space="preserve">H1</t>
  </si>
  <si>
    <t xml:space="preserve">SEO title (Rank Math)</t>
  </si>
  <si>
    <t xml:space="preserve">SEO title length</t>
  </si>
  <si>
    <t xml:space="preserve">Meta description (Rank Math)</t>
  </si>
  <si>
    <t xml:space="preserve">Meta length</t>
  </si>
  <si>
    <t xml:space="preserve">Focus keyword</t>
  </si>
  <si>
    <t xml:space="preserve">Secondary keywords</t>
  </si>
  <si>
    <t xml:space="preserve">Page type</t>
  </si>
  <si>
    <t xml:space="preserve">Neha review scope</t>
  </si>
  <si>
    <t xml:space="preserve">Widgets on page</t>
  </si>
  <si>
    <t xml:space="preserve">Words</t>
  </si>
  <si>
    <t xml:space="preserve">File to paste</t>
  </si>
  <si>
    <t xml:space="preserve">Status</t>
  </si>
  <si>
    <t xml:space="preserve">Live date</t>
  </si>
  <si>
    <t xml:space="preserve">https://wealthscale.ca/tax/</t>
  </si>
  <si>
    <t xml:space="preserve">(none)</t>
  </si>
  <si>
    <t xml:space="preserve">Canadian Income Tax Guide</t>
  </si>
  <si>
    <t xml:space="preserve">Canadian Income Tax Guide 2026: Brackets, Rates and Calculators</t>
  </si>
  <si>
    <t xml:space="preserve">Canadian Income Tax Guide: Brackets, Rates and Calculators</t>
  </si>
  <si>
    <t xml:space="preserve">Canadian income tax guide: federal brackets from 14% to 33%, every provincial rate, payroll deductions, investment income rules and calculators for 2026.</t>
  </si>
  <si>
    <t xml:space="preserve">canadian income tax</t>
  </si>
  <si>
    <t xml:space="preserve">income tax canada 2026, tax brackets canada, how much tax will i pay canada</t>
  </si>
  <si>
    <t xml:space="preserve">hub</t>
  </si>
  <si>
    <t xml:space="preserve">No</t>
  </si>
  <si>
    <t xml:space="preserve">income-tax, take-home-pay, rrsp-refund, account-chooser</t>
  </si>
  <si>
    <t xml:space="preserve">pages-paste/102-tax.html</t>
  </si>
  <si>
    <t xml:space="preserve">Not started</t>
  </si>
  <si>
    <t xml:space="preserve">https://wealthscale.ca/calculators/income-tax-calculator/</t>
  </si>
  <si>
    <t xml:space="preserve">/calculators/</t>
  </si>
  <si>
    <t xml:space="preserve">Income Tax Calculator Canada 2026</t>
  </si>
  <si>
    <t xml:space="preserve">Income Tax Calculator Canada 2026: Federal and Provincial</t>
  </si>
  <si>
    <t xml:space="preserve">Income tax calculator Canada 2026: federal and provincial tax, average and marginal rates in all 13 regions. $80,000 in Ontario pays $15,497.25.</t>
  </si>
  <si>
    <t xml:space="preserve">income tax calculator canada</t>
  </si>
  <si>
    <t xml:space="preserve">canada tax calculator 2026, how much tax do i pay, marginal tax rate calculator, average tax rate canada</t>
  </si>
  <si>
    <t xml:space="preserve">calculator</t>
  </si>
  <si>
    <t xml:space="preserve">income-tax, take-home-pay, rrsp-refund, table-filter</t>
  </si>
  <si>
    <t xml:space="preserve">pages-paste/103-calculators-income-tax-calculator.html</t>
  </si>
  <si>
    <t xml:space="preserve">https://wealthscale.ca/tax/federal-tax-brackets/</t>
  </si>
  <si>
    <t xml:space="preserve">/tax/</t>
  </si>
  <si>
    <t xml:space="preserve">Federal Tax Brackets 2026</t>
  </si>
  <si>
    <t xml:space="preserve">Federal Tax Brackets 2026: Canada's 14% to 33% Rates</t>
  </si>
  <si>
    <t xml:space="preserve">Federal tax brackets 2026: 14% up to $58,523, then 20.5%, 26%, 29% and 33% over $258,482, with a $16,452 basic personal amount. See tax at any income.</t>
  </si>
  <si>
    <t xml:space="preserve">federal tax brackets 2026</t>
  </si>
  <si>
    <t xml:space="preserve">federal income tax rates 2026, canada tax brackets 2026, federal basic personal amount 2026</t>
  </si>
  <si>
    <t xml:space="preserve">tax-guide</t>
  </si>
  <si>
    <t xml:space="preserve">income-tax, take-home-pay, rrsp-refund</t>
  </si>
  <si>
    <t xml:space="preserve">pages-paste/104-tax-federal-tax-brackets.html</t>
  </si>
  <si>
    <t xml:space="preserve">https://wealthscale.ca/tax/marginal-tax-rates/</t>
  </si>
  <si>
    <t xml:space="preserve">Marginal Tax Rates in Canada 2026</t>
  </si>
  <si>
    <t xml:space="preserve">Marginal Tax Rates in Canada 2026 by Province</t>
  </si>
  <si>
    <t xml:space="preserve">Marginal Tax Rate Canada 2026: Every Province Compared</t>
  </si>
  <si>
    <t xml:space="preserve">Marginal tax rate Canada 2026: combined federal and provincial rates at every bracket edge, top rates of 44.50% to 54.80%, and gain and dividend rates.</t>
  </si>
  <si>
    <t xml:space="preserve">marginal tax rate canada</t>
  </si>
  <si>
    <t xml:space="preserve">combined marginal tax rates 2026, top marginal tax rate canada, marginal tax rate ontario</t>
  </si>
  <si>
    <t xml:space="preserve">income-tax, capital-gains, dividend-tax, rrsp-refund</t>
  </si>
  <si>
    <t xml:space="preserve">pages-paste/105-tax-marginal-tax-rates.html</t>
  </si>
  <si>
    <t xml:space="preserve">https://wealthscale.ca/tax/ontario-tax-brackets/</t>
  </si>
  <si>
    <t xml:space="preserve">Ontario Tax Brackets 2026</t>
  </si>
  <si>
    <t xml:space="preserve">Ontario Income Tax Calculator and 2026 Tax Brackets</t>
  </si>
  <si>
    <t xml:space="preserve">Ontario Tax Brackets 2026: Income Tax Calculator and Rates</t>
  </si>
  <si>
    <t xml:space="preserve">Ontario tax brackets 2026: 5.05% on the first $53,891 up to 13.16% over $220,000, a $12,989 basic personal amount and a 53.53% top combined rate.</t>
  </si>
  <si>
    <t xml:space="preserve">ontario tax brackets 2026</t>
  </si>
  <si>
    <t xml:space="preserve">ontario income tax calculator, ontario tax rates 2026, ontario basic personal amount 2026</t>
  </si>
  <si>
    <t xml:space="preserve">province-tax</t>
  </si>
  <si>
    <t xml:space="preserve">income-tax[ON], take-home-pay[ON], rrsp-refund[ON], capital-gains[ON]</t>
  </si>
  <si>
    <t xml:space="preserve">pages-paste/106-tax-ontario-tax-brackets.html</t>
  </si>
  <si>
    <t xml:space="preserve">https://wealthscale.ca/tax/british-columbia-tax-brackets/</t>
  </si>
  <si>
    <t xml:space="preserve">British Columbia Tax Brackets 2026</t>
  </si>
  <si>
    <t xml:space="preserve">British Columbia Income Tax Calculator and 2026 Tax Brackets</t>
  </si>
  <si>
    <t xml:space="preserve">British Columbia Tax Brackets 2026: Calculator and Rates</t>
  </si>
  <si>
    <t xml:space="preserve">British Columbia tax brackets 2026: seven rates from 5.6% to 20.5%, a $13,216 basic personal amount, a $690 tax reduction and a 53.50% top combined rate.</t>
  </si>
  <si>
    <t xml:space="preserve">british columbia tax brackets 2026</t>
  </si>
  <si>
    <t xml:space="preserve">british columbia income tax calculator, british columbia tax rates 2026, british columbia basic personal amount 2026</t>
  </si>
  <si>
    <t xml:space="preserve">income-tax[BC], take-home-pay[BC], rrsp-refund[BC], capital-gains[BC]</t>
  </si>
  <si>
    <t xml:space="preserve">pages-paste/107-tax-british-columbia-tax-brackets.html</t>
  </si>
  <si>
    <t xml:space="preserve">https://wealthscale.ca/tax/alberta-tax-brackets/</t>
  </si>
  <si>
    <t xml:space="preserve">Alberta Tax Brackets 2026</t>
  </si>
  <si>
    <t xml:space="preserve">Alberta Income Tax Calculator and 2026 Tax Brackets</t>
  </si>
  <si>
    <t xml:space="preserve">Alberta Tax Brackets 2026: Income Tax Calculator and Rates</t>
  </si>
  <si>
    <t xml:space="preserve">Alberta tax brackets 2026: 8% on the first $61,200 up to 15% over $370,220, a $22,769 basic personal amount and a 48% top combined rate, with a calculator.</t>
  </si>
  <si>
    <t xml:space="preserve">alberta tax brackets 2026</t>
  </si>
  <si>
    <t xml:space="preserve">alberta income tax calculator, alberta tax rates 2026, alberta basic personal amount 2026</t>
  </si>
  <si>
    <t xml:space="preserve">income-tax[AB], take-home-pay[AB], rrsp-refund[AB], capital-gains[AB]</t>
  </si>
  <si>
    <t xml:space="preserve">pages-paste/108-tax-alberta-tax-brackets.html</t>
  </si>
  <si>
    <t xml:space="preserve">https://wealthscale.ca/tax/quebec-tax-brackets/</t>
  </si>
  <si>
    <t xml:space="preserve">Quebec Tax Brackets 2026</t>
  </si>
  <si>
    <t xml:space="preserve">Quebec Income Tax Calculator and 2026 Tax Brackets</t>
  </si>
  <si>
    <t xml:space="preserve">Quebec Tax Brackets 2026: Income Tax Calculator and Rates</t>
  </si>
  <si>
    <t xml:space="preserve">Quebec tax brackets 2026: 14% on the first $54,345 up to 25.75% over $132,245, an $18,952 basic personal amount and a 16.5% abatement of federal tax.</t>
  </si>
  <si>
    <t xml:space="preserve">quebec tax brackets 2026</t>
  </si>
  <si>
    <t xml:space="preserve">quebec income tax calculator, quebec tax rates 2026, quebec basic personal amount 2026</t>
  </si>
  <si>
    <t xml:space="preserve">income-tax[QC], take-home-pay[QC], rrsp-refund[QC], capital-gains[QC]</t>
  </si>
  <si>
    <t xml:space="preserve">pages-paste/109-tax-quebec-tax-brackets.html</t>
  </si>
  <si>
    <t xml:space="preserve">https://wealthscale.ca/tax/manitoba-tax-brackets/</t>
  </si>
  <si>
    <t xml:space="preserve">Manitoba Tax Brackets 2026</t>
  </si>
  <si>
    <t xml:space="preserve">Manitoba Income Tax Calculator and 2026 Tax Brackets</t>
  </si>
  <si>
    <t xml:space="preserve">Manitoba Tax Brackets 2026: Rates, BPA and Calculator</t>
  </si>
  <si>
    <t xml:space="preserve">Manitoba tax brackets 2026: 10.8% to $47,000, 12.75% to $100,000 and 17.4% above, frozen since 2024. Basic personal amount $15,780. Calculator inside.</t>
  </si>
  <si>
    <t xml:space="preserve">manitoba tax brackets 2026</t>
  </si>
  <si>
    <t xml:space="preserve">manitoba income tax calculator, manitoba tax rates 2026, manitoba basic personal amount 2026</t>
  </si>
  <si>
    <t xml:space="preserve">income-tax[MB], take-home-pay[MB], rrsp-refund[MB], capital-gains[MB], table-filter</t>
  </si>
  <si>
    <t xml:space="preserve">pages-paste/110-tax-manitoba-tax-brackets.html</t>
  </si>
  <si>
    <t xml:space="preserve">https://wealthscale.ca/tax/saskatchewan-tax-brackets/</t>
  </si>
  <si>
    <t xml:space="preserve">Saskatchewan Tax Brackets 2026</t>
  </si>
  <si>
    <t xml:space="preserve">Saskatchewan Income Tax Calculator and 2026 Tax Brackets</t>
  </si>
  <si>
    <t xml:space="preserve">Saskatchewan Tax Brackets 2026: Rates and Calculator</t>
  </si>
  <si>
    <t xml:space="preserve">Saskatchewan tax brackets 2026: 10.5% to $54,532, 12.5% to $155,805, 14.5% above. Basic personal amount $20,381. Calculator and tax tables inside.</t>
  </si>
  <si>
    <t xml:space="preserve">saskatchewan tax brackets 2026</t>
  </si>
  <si>
    <t xml:space="preserve">saskatchewan income tax calculator, saskatchewan tax rates 2026, saskatchewan basic personal amount 2026</t>
  </si>
  <si>
    <t xml:space="preserve">income-tax[SK], take-home-pay[SK], rrsp-refund[SK], capital-gains[SK], table-filter</t>
  </si>
  <si>
    <t xml:space="preserve">pages-paste/111-tax-saskatchewan-tax-brackets.html</t>
  </si>
  <si>
    <t xml:space="preserve">https://wealthscale.ca/tax/nova-scotia-tax-brackets/</t>
  </si>
  <si>
    <t xml:space="preserve">Nova Scotia Tax Brackets 2026</t>
  </si>
  <si>
    <t xml:space="preserve">Nova Scotia Income Tax Calculator and 2026 Tax Brackets</t>
  </si>
  <si>
    <t xml:space="preserve">Nova Scotia Tax Brackets 2026: Rates and Tax Calculator</t>
  </si>
  <si>
    <t xml:space="preserve">Nova Scotia tax brackets 2026: five rates from 8.79% to 21%, an $11,932 basic personal amount and a 54% top combined rate. Calculator and tax tables.</t>
  </si>
  <si>
    <t xml:space="preserve">nova scotia tax brackets 2026</t>
  </si>
  <si>
    <t xml:space="preserve">nova scotia income tax calculator, nova scotia tax rates 2026, nova scotia basic personal amount 2026</t>
  </si>
  <si>
    <t xml:space="preserve">income-tax[NS], take-home-pay[NS], rrsp-refund[NS], capital-gains[NS], dividend-tax[NS], table-filter</t>
  </si>
  <si>
    <t xml:space="preserve">pages-paste/112-tax-nova-scotia-tax-brackets.html</t>
  </si>
  <si>
    <t xml:space="preserve">https://wealthscale.ca/tax/new-brunswick-tax-brackets/</t>
  </si>
  <si>
    <t xml:space="preserve">New Brunswick Tax Brackets 2026</t>
  </si>
  <si>
    <t xml:space="preserve">New Brunswick Income Tax Calculator and 2026 Tax Brackets</t>
  </si>
  <si>
    <t xml:space="preserve">New Brunswick Tax Brackets 2026: Rates and Calculator</t>
  </si>
  <si>
    <t xml:space="preserve">New Brunswick tax brackets 2026: 9.4% to $52,333, then 14%, 16% and 19.5% over $193,861. Basic personal amount $13,664. Calculator and tax tables.</t>
  </si>
  <si>
    <t xml:space="preserve">new brunswick tax brackets 2026</t>
  </si>
  <si>
    <t xml:space="preserve">new brunswick income tax calculator, new brunswick tax rates 2026, new brunswick basic personal amount 2026</t>
  </si>
  <si>
    <t xml:space="preserve">income-tax[NB], take-home-pay[NB], rrsp-refund[NB], capital-gains[NB], dividend-tax[NB], table-filter</t>
  </si>
  <si>
    <t xml:space="preserve">pages-paste/113-tax-new-brunswick-tax-brackets.html</t>
  </si>
  <si>
    <t xml:space="preserve">https://wealthscale.ca/tax/newfoundland-and-labrador-tax-brackets/</t>
  </si>
  <si>
    <t xml:space="preserve">Newfoundland and Labrador Tax Brackets 2026</t>
  </si>
  <si>
    <t xml:space="preserve">Newfoundland and Labrador Income Tax Calculator and 2026 Tax Brackets</t>
  </si>
  <si>
    <t xml:space="preserve">Newfoundland and Labrador Tax Brackets 2026: Calculator</t>
  </si>
  <si>
    <t xml:space="preserve">Newfoundland and Labrador tax brackets 2026: eight rates from 8.7% to 21.8%, a $13,094 basic personal amount and a 54.8% top rate. Calculator inside.</t>
  </si>
  <si>
    <t xml:space="preserve">newfoundland and labrador tax brackets 2026</t>
  </si>
  <si>
    <t xml:space="preserve">newfoundland and labrador income tax calculator, newfoundland and labrador tax rates 2026, newfoundland and labrador basic personal amount 2026</t>
  </si>
  <si>
    <t xml:space="preserve">income-tax[NL], take-home-pay[NL], rrsp-refund[NL], capital-gains[NL], dividend-tax[NL], table-filter</t>
  </si>
  <si>
    <t xml:space="preserve">pages-paste/114-tax-newfoundland-and-labrador-tax-brackets.html</t>
  </si>
  <si>
    <t xml:space="preserve">https://wealthscale.ca/tax/prince-edward-island-tax-brackets/</t>
  </si>
  <si>
    <t xml:space="preserve">Prince Edward Island Tax Brackets 2026</t>
  </si>
  <si>
    <t xml:space="preserve">Prince Edward Island Income Tax Calculator and 2026 Tax Brackets</t>
  </si>
  <si>
    <t xml:space="preserve">Prince Edward Island Tax Brackets 2026: Rates and Calculator</t>
  </si>
  <si>
    <t xml:space="preserve">Prince Edward Island tax brackets 2026: 9.5% up to a new 20% rate over $200,000, a $15,000 basic amount and a 53% top combined rate. Free calculator.</t>
  </si>
  <si>
    <t xml:space="preserve">prince edward island tax brackets 2026</t>
  </si>
  <si>
    <t xml:space="preserve">prince edward island income tax calculator, prince edward island tax rates 2026, prince edward island basic personal amount 2026</t>
  </si>
  <si>
    <t xml:space="preserve">income-tax[PE], take-home-pay[PE], rrsp-refund[PE], capital-gains[PE], dividend-tax[PE], table-filter</t>
  </si>
  <si>
    <t xml:space="preserve">pages-paste/115-tax-prince-edward-island-tax-brackets.html</t>
  </si>
  <si>
    <t xml:space="preserve">https://wealthscale.ca/tax/yukon-tax-brackets/</t>
  </si>
  <si>
    <t xml:space="preserve">Yukon Tax Brackets 2026</t>
  </si>
  <si>
    <t xml:space="preserve">Yukon Income Tax Calculator and 2026 Tax Brackets</t>
  </si>
  <si>
    <t xml:space="preserve">Yukon Tax Brackets 2026: Rates, Calculator and Examples</t>
  </si>
  <si>
    <t xml:space="preserve">Yukon tax brackets 2026: 6.4% up to 15% over $500,000, a $16,452 basic personal amount that phases down like the federal one, and a 48% top rate.</t>
  </si>
  <si>
    <t xml:space="preserve">yukon tax brackets 2026</t>
  </si>
  <si>
    <t xml:space="preserve">yukon income tax calculator, yukon tax rates 2026, yukon basic personal amount 2026</t>
  </si>
  <si>
    <t xml:space="preserve">income-tax[YT], take-home-pay[YT], rrsp-refund[YT], capital-gains[YT], table-filter</t>
  </si>
  <si>
    <t xml:space="preserve">pages-paste/116-tax-yukon-tax-brackets.html</t>
  </si>
  <si>
    <t xml:space="preserve">https://wealthscale.ca/tax/northwest-territories-tax-brackets/</t>
  </si>
  <si>
    <t xml:space="preserve">Northwest Territories Tax Brackets 2026</t>
  </si>
  <si>
    <t xml:space="preserve">Northwest Territories Income Tax Calculator and 2026 Tax Brackets</t>
  </si>
  <si>
    <t xml:space="preserve">Northwest Territories Tax Brackets 2026 and Calculator</t>
  </si>
  <si>
    <t xml:space="preserve">Northwest Territories tax brackets 2026: 5.9% up to 14.05% over $172,346, an $18,198 basic personal amount and a 47.05% top combined rate, with a calculator.</t>
  </si>
  <si>
    <t xml:space="preserve">northwest territories tax brackets 2026</t>
  </si>
  <si>
    <t xml:space="preserve">northwest territories income tax calculator, northwest territories tax rates 2026, northwest territories basic personal amount 2026</t>
  </si>
  <si>
    <t xml:space="preserve">income-tax[NT], take-home-pay[NT], rrsp-refund[NT], capital-gains[NT], table-filter</t>
  </si>
  <si>
    <t xml:space="preserve">pages-paste/117-tax-northwest-territories-tax-brackets.html</t>
  </si>
  <si>
    <t xml:space="preserve">https://wealthscale.ca/compare/best-brokers-for-etfs/</t>
  </si>
  <si>
    <t xml:space="preserve">/compare/</t>
  </si>
  <si>
    <t xml:space="preserve">Best Brokers for ETF Investing in Canada</t>
  </si>
  <si>
    <t xml:space="preserve">Best Broker for ETFs Canada 2026: 13 Brokers Ranked</t>
  </si>
  <si>
    <t xml:space="preserve">Best broker for ETFs Canada ranking for 2026: Questrade and Wealthsimple lead at 4.7 / 5 with $0 ETF trades, DRIP and fractional shares. 13 brokers ranked.</t>
  </si>
  <si>
    <t xml:space="preserve">best broker for etfs canada</t>
  </si>
  <si>
    <t xml:space="preserve">commission free etfs canada, cheapest way to buy etfs canada</t>
  </si>
  <si>
    <t xml:space="preserve">best-of</t>
  </si>
  <si>
    <t xml:space="preserve">Yes</t>
  </si>
  <si>
    <t xml:space="preserve">table-filter, broker-match, broker-cost, fee-drag</t>
  </si>
  <si>
    <t xml:space="preserve">pages-paste/186-compare-best-brokers-for-etfs.html</t>
  </si>
  <si>
    <t xml:space="preserve">https://wealthscale.ca/compare/best-brokers-for-fractional-shares/</t>
  </si>
  <si>
    <t xml:space="preserve">Best Brokers for Fractional Shares in Canada</t>
  </si>
  <si>
    <t xml:space="preserve">Fractional Shares Canada 2026: 5 Brokers Ranked by Score</t>
  </si>
  <si>
    <t xml:space="preserve">Fractional shares Canada ranking 2026: Questrade leads at 4.3 / 5, then Interactive Brokers and Wealthsimple at 4.2 / 5. Only 5 of 13 brokers offer them.</t>
  </si>
  <si>
    <t xml:space="preserve">fractional shares canada</t>
  </si>
  <si>
    <t xml:space="preserve">buy fractional shares canada, fractional shares tfsa</t>
  </si>
  <si>
    <t xml:space="preserve">table-filter, broker-match, broker-cost</t>
  </si>
  <si>
    <t xml:space="preserve">pages-paste/187-compare-best-brokers-for-fractional-shares.html</t>
  </si>
  <si>
    <t xml:space="preserve">https://wealthscale.ca/compare/best-trading-platforms/</t>
  </si>
  <si>
    <t xml:space="preserve">Best Trading Platforms for Active Traders in Canada</t>
  </si>
  <si>
    <t xml:space="preserve">Best Trading Platform Canada 2026: Active Trader Ranking</t>
  </si>
  <si>
    <t xml:space="preserve">Best trading platform Canada ranking for 2026: Interactive Brokers leads at 4.6 / 5 with 3.675% CAD margin and US$0.65 options. 13 platforms scored.</t>
  </si>
  <si>
    <t xml:space="preserve">best trading platform canada</t>
  </si>
  <si>
    <t xml:space="preserve">best platform for day trading canada, active trader broker canada</t>
  </si>
  <si>
    <t xml:space="preserve">table-filter, broker-match, broker-cost, options-cost, margin-interest</t>
  </si>
  <si>
    <t xml:space="preserve">pages-paste/188-compare-best-trading-platforms.html</t>
  </si>
  <si>
    <t xml:space="preserve">https://wealthscale.ca/banking/best-high-interest-chequing-accounts/</t>
  </si>
  <si>
    <t xml:space="preserve">/banking/</t>
  </si>
  <si>
    <t xml:space="preserve">Best High-Interest Chequing Accounts in Canada</t>
  </si>
  <si>
    <t xml:space="preserve">High Interest Chequing Account Canada 2026: 5 Ranked by Rate</t>
  </si>
  <si>
    <t xml:space="preserve">High interest chequing account Canada rankings for 2026, sorted by rate: EQ Bank pays 2.75% with direct deposit, then KOHO 2% and Wealthsimple 1.75%.</t>
  </si>
  <si>
    <t xml:space="preserve">high interest chequing account canada</t>
  </si>
  <si>
    <t xml:space="preserve">chequing account that pays interest</t>
  </si>
  <si>
    <t xml:space="preserve">table-filter, chequing-cost, deposit-insurance</t>
  </si>
  <si>
    <t xml:space="preserve">pages-paste/198-banking-best-high-interest-chequing-accounts.html</t>
  </si>
  <si>
    <t xml:space="preserve">https://wealthscale.ca/tax/nunavut-tax-brackets/</t>
  </si>
  <si>
    <t xml:space="preserve">Nunavut Tax Brackets 2026</t>
  </si>
  <si>
    <t xml:space="preserve">Nunavut Income Tax Calculator and 2026 Tax Brackets</t>
  </si>
  <si>
    <t xml:space="preserve">Nunavut Tax Brackets 2026: 4% to 11.5% and a Calculator</t>
  </si>
  <si>
    <t xml:space="preserve">Nunavut tax brackets 2026: 4% up to 11.5% over $181,439, a $19,659 basic personal amount and a 44.5% top combined rate, the lowest in Canada.</t>
  </si>
  <si>
    <t xml:space="preserve">nunavut tax brackets 2026</t>
  </si>
  <si>
    <t xml:space="preserve">nunavut income tax calculator, nunavut tax rates 2026, nunavut basic personal amount 2026</t>
  </si>
  <si>
    <t xml:space="preserve">income-tax[NU], take-home-pay[NU], rrsp-refund[NU], capital-gains[NU], table-filter</t>
  </si>
  <si>
    <t xml:space="preserve">pages-paste/118-tax-nunavut-tax-brackets.html</t>
  </si>
  <si>
    <t xml:space="preserve">https://wealthscale.ca/tax/basic-personal-amount/</t>
  </si>
  <si>
    <t xml:space="preserve">Basic Personal Amount 2026</t>
  </si>
  <si>
    <t xml:space="preserve">Basic Personal Amount 2026: Federal and Provincial</t>
  </si>
  <si>
    <t xml:space="preserve">Basic Personal Amount 2026: Federal and Every Province</t>
  </si>
  <si>
    <t xml:space="preserve">The basic personal amount 2026 is $16,452 federally, falling to $14,829 at high incomes. See every province's BPA, its credit value and tax-free income.</t>
  </si>
  <si>
    <t xml:space="preserve">basic personal amount 2026</t>
  </si>
  <si>
    <t xml:space="preserve">bpa 2026, federal basic personal amount, ontario basic personal amount 2026, tax free income canada</t>
  </si>
  <si>
    <t xml:space="preserve">income-tax, take-home-pay, table-filter</t>
  </si>
  <si>
    <t xml:space="preserve">pages-paste/119-tax-basic-personal-amount.html</t>
  </si>
  <si>
    <t xml:space="preserve">https://wealthscale.ca/calculators/take-home-pay-calculator/</t>
  </si>
  <si>
    <t xml:space="preserve">Take-Home Pay Calculator Canada 2026</t>
  </si>
  <si>
    <t xml:space="preserve">Take Home Pay Calculator Canada 2026: Salary After Tax</t>
  </si>
  <si>
    <t xml:space="preserve">Take home pay calculator Canada 2026 with CPP, CPP2, EI and income tax in every province. A $60,000 salary in Ontario leaves $47,339.75 a year.</t>
  </si>
  <si>
    <t xml:space="preserve">take home pay calculator canada</t>
  </si>
  <si>
    <t xml:space="preserve">salary after tax canada, net pay calculator canada, paycheque calculator ontario, how much is 60000 after tax</t>
  </si>
  <si>
    <t xml:space="preserve">take-home-pay, income-tax, rrsp-refund, table-filter</t>
  </si>
  <si>
    <t xml:space="preserve">pages-paste/120-calculators-take-home-pay-calculator.html</t>
  </si>
  <si>
    <t xml:space="preserve">https://wealthscale.ca/tax/cpp-ei-contributions/</t>
  </si>
  <si>
    <t xml:space="preserve">CPP and EI Contributions 2026</t>
  </si>
  <si>
    <t xml:space="preserve">CPP and EI Contributions 2026: Rates and Maximums</t>
  </si>
  <si>
    <t xml:space="preserve">CPP Contributions 2026: CPP, CPP2 and EI Rates and Maximums</t>
  </si>
  <si>
    <t xml:space="preserve">CPP contributions 2026: 5.95% up to $74,600 (maximum $4,230.45), CPP2 4% to $85,000 (maximum $416) and EI 1.63% (maximum $1,123.07), with QPP and examples.</t>
  </si>
  <si>
    <t xml:space="preserve">cpp contributions 2026</t>
  </si>
  <si>
    <t xml:space="preserve">ei premiums 2026, cpp2 2026, maximum cpp contribution 2026, ympe 2026, qpp 2026</t>
  </si>
  <si>
    <t xml:space="preserve">take-home-pay, cpp-start-age</t>
  </si>
  <si>
    <t xml:space="preserve">pages-paste/121-tax-cpp-ei-contributions.html</t>
  </si>
  <si>
    <t xml:space="preserve">https://wealthscale.ca/tax/ontario-health-premium/</t>
  </si>
  <si>
    <t xml:space="preserve">Ontario Health Premium</t>
  </si>
  <si>
    <t xml:space="preserve">Ontario Health Premium 2026</t>
  </si>
  <si>
    <t xml:space="preserve">Ontario Health Premium: Rates, Bands and How to Lower It</t>
  </si>
  <si>
    <t xml:space="preserve">The Ontario health premium is $0 on taxable income up to $20,000 and rises in steps to $900 over $200,600. See each band, worked examples and RRSP effects.</t>
  </si>
  <si>
    <t xml:space="preserve">ontario health premium</t>
  </si>
  <si>
    <t xml:space="preserve">ontario health premium rates, ohp 2026, ontario health premium calculator</t>
  </si>
  <si>
    <t xml:space="preserve">income-tax[ON], take-home-pay[ON], rrsp-refund[ON]</t>
  </si>
  <si>
    <t xml:space="preserve">pages-paste/122-tax-ontario-health-premium.html</t>
  </si>
  <si>
    <t xml:space="preserve">https://wealthscale.ca/tax/superficial-loss-rule/</t>
  </si>
  <si>
    <t xml:space="preserve">Superficial Loss Rule</t>
  </si>
  <si>
    <t xml:space="preserve">Superficial Loss Rule in Canada</t>
  </si>
  <si>
    <t xml:space="preserve">Superficial Loss Rule Canada: The 30-Day Rule Explained</t>
  </si>
  <si>
    <t xml:space="preserve">The superficial loss rule Canada applies denies a capital loss if you or your spouse rebuy within 30 days before or after the sale, a 61-day window.</t>
  </si>
  <si>
    <t xml:space="preserve">superficial loss rule canada</t>
  </si>
  <si>
    <t xml:space="preserve">superficial loss tfsa, 30 day rule canada, tax loss selling canada</t>
  </si>
  <si>
    <t xml:space="preserve">superficial-loss, capital-gains, table-filter</t>
  </si>
  <si>
    <t xml:space="preserve">pages-paste/123-tax-superficial-loss-rule.html</t>
  </si>
  <si>
    <t xml:space="preserve">https://wealthscale.ca/tax/capital-losses/</t>
  </si>
  <si>
    <t xml:space="preserve">Capital Losses: Carry Back and Carry Forward</t>
  </si>
  <si>
    <t xml:space="preserve">Capital Losses in Canada: Carry Back and Carry Forward</t>
  </si>
  <si>
    <t xml:space="preserve">Capital Loss Carryforward Canada: Carry Back 3 Years</t>
  </si>
  <si>
    <t xml:space="preserve">Capital loss carryforward Canada rules: net capital losses carry back 3 years or forward indefinitely, against taxable capital gains only. 2026 examples.</t>
  </si>
  <si>
    <t xml:space="preserve">capital loss carryforward canada</t>
  </si>
  <si>
    <t xml:space="preserve">net capital loss carry back 3 years, allowable capital loss, capital loss deduction</t>
  </si>
  <si>
    <t xml:space="preserve">capital-gains, superficial-loss, table-filter</t>
  </si>
  <si>
    <t xml:space="preserve">pages-paste/124-tax-capital-losses.html</t>
  </si>
  <si>
    <t xml:space="preserve">https://wealthscale.ca/tax/lifetime-capital-gains-exemption/</t>
  </si>
  <si>
    <t xml:space="preserve">Lifetime Capital Gains Exemption 2026</t>
  </si>
  <si>
    <t xml:space="preserve">Lifetime Capital Gains Exemption 2026: $1,275,000 Limit</t>
  </si>
  <si>
    <t xml:space="preserve">Lifetime capital gains exemption 2026: $1,275,000 of gains on QSBC shares and farm or fishing property, a $637,500 deduction. Rules, tests and examples.</t>
  </si>
  <si>
    <t xml:space="preserve">lifetime capital gains exemption 2026</t>
  </si>
  <si>
    <t xml:space="preserve">lcge 2026, qualified small business corporation shares exemption, canadian entrepreneurs incentive</t>
  </si>
  <si>
    <t xml:space="preserve">capital-gains, income-tax</t>
  </si>
  <si>
    <t xml:space="preserve">pages-paste/125-tax-lifetime-capital-gains-exemption.html</t>
  </si>
  <si>
    <t xml:space="preserve">https://wealthscale.ca/tax/pension-income-splitting/</t>
  </si>
  <si>
    <t xml:space="preserve">Pension Income Splitting</t>
  </si>
  <si>
    <t xml:space="preserve">Pension Income Splitting in Canada</t>
  </si>
  <si>
    <t xml:space="preserve">Pension Income Splitting in Canada: Rules, T1032 and Savings</t>
  </si>
  <si>
    <t xml:space="preserve">Pension income splitting lets a spouse 65 or older allocate up to 50% of eligible pension income to a partner. See the rules, Form T1032 and savings.</t>
  </si>
  <si>
    <t xml:space="preserve">pension income splitting</t>
  </si>
  <si>
    <t xml:space="preserve">split pension income with spouse, eligible pension income, t1032</t>
  </si>
  <si>
    <t xml:space="preserve">pension-split, oas-clawback, income-tax</t>
  </si>
  <si>
    <t xml:space="preserve">pages-paste/126-tax-pension-income-splitting.html</t>
  </si>
  <si>
    <t xml:space="preserve">https://wealthscale.ca/tax/dividend-tax-credit/</t>
  </si>
  <si>
    <t xml:space="preserve">Dividend Tax Credit in Canada 2026</t>
  </si>
  <si>
    <t xml:space="preserve">Dividend Tax Credit Canada 2026: Gross-Up and Rates</t>
  </si>
  <si>
    <t xml:space="preserve">Dividend tax credit Canada 2026: eligible dividends grossed up 38% with a 15.0198% federal credit; other dividends 15% and 9.0301%. Rates by province.</t>
  </si>
  <si>
    <t xml:space="preserve">dividend tax credit canada</t>
  </si>
  <si>
    <t xml:space="preserve">eligible vs non eligible dividends, dividend gross up 2026, dividend tax rates by province</t>
  </si>
  <si>
    <t xml:space="preserve">dividend-tax, income-tax, oas-clawback</t>
  </si>
  <si>
    <t xml:space="preserve">pages-paste/127-tax-dividend-tax-credit.html</t>
  </si>
  <si>
    <t xml:space="preserve">https://wealthscale.ca/tax/foreign-tax-credit/</t>
  </si>
  <si>
    <t xml:space="preserve">Foreign Tax Credit for US Dividends</t>
  </si>
  <si>
    <t xml:space="preserve">Foreign Tax Credit Canada: Claiming US Dividend Withholding</t>
  </si>
  <si>
    <t xml:space="preserve">The foreign tax credit Canada gives on US dividends recovers the 15% US withholding in a non-registered account, up to the Canadian tax on that income.</t>
  </si>
  <si>
    <t xml:space="preserve">foreign tax credit canada</t>
  </si>
  <si>
    <t xml:space="preserve">us withholding tax credit canada, w-8ben, us dividends non registered account</t>
  </si>
  <si>
    <t xml:space="preserve">us-withholding, income-tax, table-filter</t>
  </si>
  <si>
    <t xml:space="preserve">pages-paste/128-tax-foreign-tax-credit.html</t>
  </si>
  <si>
    <t xml:space="preserve">https://wealthscale.ca/tax/rrsp-withdrawal-tax/</t>
  </si>
  <si>
    <t xml:space="preserve">RRSP Withdrawal Tax</t>
  </si>
  <si>
    <t xml:space="preserve">RRSP Withdrawal Tax: Withholding Rates 2026</t>
  </si>
  <si>
    <t xml:space="preserve">RRSP Withdrawal Tax 2026: Withholding Rates and Final Tax</t>
  </si>
  <si>
    <t xml:space="preserve">RRSP withdrawal tax starts with 10%, 20% or 30% withheld at source, then the full amount is taxed as income. 2026 rates, Quebec rules and examples.</t>
  </si>
  <si>
    <t xml:space="preserve">rrsp withdrawal tax</t>
  </si>
  <si>
    <t xml:space="preserve">rrsp withholding tax rates, rrsp early withdrawal penalty, rrsp withdrawal quebec</t>
  </si>
  <si>
    <t xml:space="preserve">rrsp-withdrawal, rrsp-refund, hbp-repayment</t>
  </si>
  <si>
    <t xml:space="preserve">pages-paste/129-tax-rrsp-withdrawal-tax.html</t>
  </si>
  <si>
    <t xml:space="preserve">https://wealthscale.ca/accounts/spousal-rrsp/</t>
  </si>
  <si>
    <t xml:space="preserve">/accounts/</t>
  </si>
  <si>
    <t xml:space="preserve">Spousal RRSP</t>
  </si>
  <si>
    <t xml:space="preserve">Spousal RRSP: Rules, Attribution and Examples</t>
  </si>
  <si>
    <t xml:space="preserve">Spousal RRSP: Rules, Attribution and Worked Examples</t>
  </si>
  <si>
    <t xml:space="preserve">A spousal RRSP uses your room and deduction, but a withdrawal in a contribution year or the two years after is taxed to you. Rules and computed examples.</t>
  </si>
  <si>
    <t xml:space="preserve">spousal rrsp</t>
  </si>
  <si>
    <t xml:space="preserve">spousal rrsp rules, spousal rrsp attribution, spousal rrsp withdrawal</t>
  </si>
  <si>
    <t xml:space="preserve">account-guide</t>
  </si>
  <si>
    <t xml:space="preserve">spousal-attribution, rrsp-refund, rrsp-room</t>
  </si>
  <si>
    <t xml:space="preserve">pages-paste/130-accounts-spousal-rrsp.html</t>
  </si>
  <si>
    <t xml:space="preserve">https://wealthscale.ca/accounts/rrsp-over-contribution/</t>
  </si>
  <si>
    <t xml:space="preserve">RRSP Over-Contribution</t>
  </si>
  <si>
    <t xml:space="preserve">RRSP Over-Contribution: Penalty and Fixes</t>
  </si>
  <si>
    <t xml:space="preserve">RRSP Over Contribution: $2,000 Buffer, 1% Tax and Fixes</t>
  </si>
  <si>
    <t xml:space="preserve">An RRSP over contribution above your limit plus the $2,000 buffer is taxed at 1% a month and reported on Form T1-OVP. How to compute the excess and fix it.</t>
  </si>
  <si>
    <t xml:space="preserve">rrsp over contribution</t>
  </si>
  <si>
    <t xml:space="preserve">rrsp over contribution penalty, rrsp $2000 buffer, t1-ovp</t>
  </si>
  <si>
    <t xml:space="preserve">rrsp-room, rrsp-refund</t>
  </si>
  <si>
    <t xml:space="preserve">pages-paste/131-accounts-rrsp-over-contribution.html</t>
  </si>
  <si>
    <t xml:space="preserve">https://wealthscale.ca/accounts/rrsp-at-71/</t>
  </si>
  <si>
    <t xml:space="preserve">RRSP at 71</t>
  </si>
  <si>
    <t xml:space="preserve">RRSP at 71: Your Options</t>
  </si>
  <si>
    <t xml:space="preserve">RRSP at 71: Your Options for a RRIF, Annuity or Cash</t>
  </si>
  <si>
    <t xml:space="preserve">Your RRSP at 71 must become a RRIF, an annuity or cash by December 31 of that year. RRIF minimums start at 5.28% at 71. Options, deadlines and examples.</t>
  </si>
  <si>
    <t xml:space="preserve">rrsp at 71</t>
  </si>
  <si>
    <t xml:space="preserve">convert rrsp to rrif, rrsp deadline age 71, rrif or annuity</t>
  </si>
  <si>
    <t xml:space="preserve">rrif-minimum, rrsp-withdrawal, retirement-income</t>
  </si>
  <si>
    <t xml:space="preserve">pages-paste/132-accounts-rrsp-at-71.html</t>
  </si>
  <si>
    <t xml:space="preserve">https://wealthscale.ca/accounts/tfsa-over-contribution/</t>
  </si>
  <si>
    <t xml:space="preserve">TFSA Over-Contribution Penalty</t>
  </si>
  <si>
    <t xml:space="preserve">TFSA Over-Contribution Penalty: How to Fix It</t>
  </si>
  <si>
    <t xml:space="preserve">TFSA Over Contribution Penalty: 1% a Month and How to Fix It</t>
  </si>
  <si>
    <t xml:space="preserve">The TFSA over contribution penalty is 1% a month on your highest excess. A $5,000 excess left for 6 months costs $300. See how to fix it step by step.</t>
  </si>
  <si>
    <t xml:space="preserve">tfsa over contribution penalty</t>
  </si>
  <si>
    <t xml:space="preserve">tfsa excess contribution, tfsa penalty 1% per month, tfsa over contribution letter</t>
  </si>
  <si>
    <t xml:space="preserve">tfsa-room, tfsa-overcontribution</t>
  </si>
  <si>
    <t xml:space="preserve">pages-paste/133-accounts-tfsa-over-contribution.html</t>
  </si>
  <si>
    <t xml:space="preserve">https://wealthscale.ca/accounts/tfsa-non-resident/</t>
  </si>
  <si>
    <t xml:space="preserve">TFSA for Non-Residents and Newcomers</t>
  </si>
  <si>
    <t xml:space="preserve">TFSA Non Resident Rules: Newcomers, Leaving Canada and Tax</t>
  </si>
  <si>
    <t xml:space="preserve">TFSA non resident rules: newcomers get room from the year they become resident, a full $7,000 for 2026. Contributions made abroad cost 1% a month.</t>
  </si>
  <si>
    <t xml:space="preserve">tfsa non resident</t>
  </si>
  <si>
    <t xml:space="preserve">tfsa newcomer to canada, tfsa after leaving canada, tfsa room for new immigrants</t>
  </si>
  <si>
    <t xml:space="preserve">pages-paste/134-accounts-tfsa-non-resident.html</t>
  </si>
  <si>
    <t xml:space="preserve">https://wealthscale.ca/compare/best-tfsa-for-beginners/</t>
  </si>
  <si>
    <t xml:space="preserve">Best TFSA Accounts for Beginners</t>
  </si>
  <si>
    <t xml:space="preserve">Best TFSA for Beginners 2026: 13 TFSA Brokers Ranked</t>
  </si>
  <si>
    <t xml:space="preserve">Best TFSA for beginners ranking for 2026: Wealthsimple leads at 4.7 / 5 with $0 trades, fractional shares from $1 and no minimum. 2026 TFSA limit: $7,000.</t>
  </si>
  <si>
    <t xml:space="preserve">best tfsa for beginners</t>
  </si>
  <si>
    <t xml:space="preserve">easiest tfsa to open, tfsa app canada</t>
  </si>
  <si>
    <t xml:space="preserve">account-listing</t>
  </si>
  <si>
    <t xml:space="preserve">table-filter, broker-match, tfsa-room</t>
  </si>
  <si>
    <t xml:space="preserve">pages-paste/189-compare-best-tfsa-for-beginners.html</t>
  </si>
  <si>
    <t xml:space="preserve">https://wealthscale.ca/compare/best-tfsa-for-etfs/</t>
  </si>
  <si>
    <t xml:space="preserve">Best TFSA Accounts for ETFs</t>
  </si>
  <si>
    <t xml:space="preserve">Best TFSA for ETFs 2026: 13 TFSA Providers Ranked by Cost</t>
  </si>
  <si>
    <t xml:space="preserve">Best TFSA for ETFs ranking for 2026: Questrade and Wealthsimple lead at 4.7 / 5 with $0 ETF trades in a TFSA. US dividends lose 15% in any TFSA. 13 ranked.</t>
  </si>
  <si>
    <t xml:space="preserve">best tfsa for etfs</t>
  </si>
  <si>
    <t xml:space="preserve">etf tfsa canada</t>
  </si>
  <si>
    <t xml:space="preserve">table-filter, tfsa-room, broker-cost, fee-drag</t>
  </si>
  <si>
    <t xml:space="preserve">pages-paste/190-compare-best-tfsa-for-etfs.html</t>
  </si>
  <si>
    <t xml:space="preserve">https://wealthscale.ca/banking/best-online-banks/</t>
  </si>
  <si>
    <t xml:space="preserve">Best Online Banks in Canada</t>
  </si>
  <si>
    <t xml:space="preserve">Best Online Bank Canada 2026: 8 Digital Banks Compared</t>
  </si>
  <si>
    <t xml:space="preserve">Best online bank Canada guide for 2026: 8 digital banks and fintechs compared on fees, savings rates and CDIC protection, with EQ Bank first at 2.75%.</t>
  </si>
  <si>
    <t xml:space="preserve">best online bank canada</t>
  </si>
  <si>
    <t xml:space="preserve">digital banks canada, online bank account canada</t>
  </si>
  <si>
    <t xml:space="preserve">table-filter, chequing-cost, hisa-earnings, deposit-insurance</t>
  </si>
  <si>
    <t xml:space="preserve">pages-paste/199-banking-best-online-banks.html</t>
  </si>
  <si>
    <t xml:space="preserve">https://wealthscale.ca/accounts/tfsa-successor-holder/</t>
  </si>
  <si>
    <t xml:space="preserve">TFSA Successor Holder vs Beneficiary</t>
  </si>
  <si>
    <t xml:space="preserve">TFSA Successor Holder vs Beneficiary: Tax and Rules at Death</t>
  </si>
  <si>
    <t xml:space="preserve">A TFSA successor holder can only be a spouse or partner, who takes over the account tax-free. A beneficiary is paid out, and growth after death is taxed.</t>
  </si>
  <si>
    <t xml:space="preserve">tfsa successor holder</t>
  </si>
  <si>
    <t xml:space="preserve">tfsa beneficiary, tfsa death of spouse, exempt contribution tfsa</t>
  </si>
  <si>
    <t xml:space="preserve">tfsa-room, compound-interest</t>
  </si>
  <si>
    <t xml:space="preserve">pages-paste/135-accounts-tfsa-successor-holder.html</t>
  </si>
  <si>
    <t xml:space="preserve">https://wealthscale.ca/accounts/fhsa-withdrawal/</t>
  </si>
  <si>
    <t xml:space="preserve">FHSA Withdrawal Rules</t>
  </si>
  <si>
    <t xml:space="preserve">FHSA Withdrawal Rules: Qualifying and Taxable</t>
  </si>
  <si>
    <t xml:space="preserve">FHSA Withdrawal Rules: Qualifying, Taxable and Closing</t>
  </si>
  <si>
    <t xml:space="preserve">FHSA withdrawal rules: a qualifying withdrawal is tax-free and never repaid if taken no more than 30 days after you buy. Conditions, deadlines and tax.</t>
  </si>
  <si>
    <t xml:space="preserve">fhsa withdrawal</t>
  </si>
  <si>
    <t xml:space="preserve">fhsa qualifying withdrawal, fhsa withdrawal tax, close fhsa</t>
  </si>
  <si>
    <t xml:space="preserve">fhsa-room, fhsa-eligibility, first-home</t>
  </si>
  <si>
    <t xml:space="preserve">pages-paste/136-accounts-fhsa-withdrawal.html</t>
  </si>
  <si>
    <t xml:space="preserve">https://wealthscale.ca/accounts/fhsa-and-home-buyers-plan/</t>
  </si>
  <si>
    <t xml:space="preserve">FHSA and Home Buyers' Plan Together</t>
  </si>
  <si>
    <t xml:space="preserve">Using the FHSA and Home Buyers' Plan Together</t>
  </si>
  <si>
    <t xml:space="preserve">FHSA and HBP Together: Limits, Timing and Repayment</t>
  </si>
  <si>
    <t xml:space="preserve">FHSA and HBP together: one buyer can use $100,000 before growth and a couple $200,000 for the same first home. Timing, repayment and examples.</t>
  </si>
  <si>
    <t xml:space="preserve">fhsa and hbp together</t>
  </si>
  <si>
    <t xml:space="preserve">fhsa plus hbp, first home savings for couples, down payment from rrsp and fhsa</t>
  </si>
  <si>
    <t xml:space="preserve">first-home, hbp-repayment, fhsa-room</t>
  </si>
  <si>
    <t xml:space="preserve">pages-paste/137-accounts-fhsa-and-home-buyers-plan.html</t>
  </si>
  <si>
    <t xml:space="preserve">https://wealthscale.ca/accounts/fhsa-to-rrsp-transfer/</t>
  </si>
  <si>
    <t xml:space="preserve">FHSA to RRSP Transfer</t>
  </si>
  <si>
    <t xml:space="preserve">FHSA to RRSP Transfer: Rules and Room</t>
  </si>
  <si>
    <t xml:space="preserve">FHSA Transfer to RRSP: Rules, RRSP Room and Timing</t>
  </si>
  <si>
    <t xml:space="preserve">FHSA transfer to RRSP rules: move your whole balance, even $40,000 plus growth, tax-deferred and without using RRSP room. Timing, limits and examples.</t>
  </si>
  <si>
    <t xml:space="preserve">fhsa transfer to rrsp</t>
  </si>
  <si>
    <t xml:space="preserve">transfer fhsa to rrsp no tax, fhsa not buying a house</t>
  </si>
  <si>
    <t xml:space="preserve">fhsa-room, rrsp-room, rrsp-refund</t>
  </si>
  <si>
    <t xml:space="preserve">pages-paste/138-accounts-fhsa-to-rrsp-transfer.html</t>
  </si>
  <si>
    <t xml:space="preserve">https://wealthscale.ca/accounts/lifelong-learning-plan/</t>
  </si>
  <si>
    <t xml:space="preserve">Lifelong Learning Plan</t>
  </si>
  <si>
    <t xml:space="preserve">Lifelong Learning Plan (LLP)</t>
  </si>
  <si>
    <t xml:space="preserve">Lifelong Learning Plan (LLP): Limits, Rules and Repayment</t>
  </si>
  <si>
    <t xml:space="preserve">The Lifelong Learning Plan lets you take $10,000 a year and $20,000 in total from your RRSP for full-time study, repaid over 10 years. Rules and examples.</t>
  </si>
  <si>
    <t xml:space="preserve">lifelong learning plan</t>
  </si>
  <si>
    <t xml:space="preserve">llp rrsp withdrawal, llp repayment</t>
  </si>
  <si>
    <t xml:space="preserve">rrsp-withdrawal, rrsp-room</t>
  </si>
  <si>
    <t xml:space="preserve">pages-paste/139-accounts-lifelong-learning-plan.html</t>
  </si>
  <si>
    <t xml:space="preserve">https://wealthscale.ca/accounts/lira/</t>
  </si>
  <si>
    <t xml:space="preserve">LIRA: Locked-In Retirement Account</t>
  </si>
  <si>
    <t xml:space="preserve">LIRA: Locked-In Retirement Account Explained</t>
  </si>
  <si>
    <t xml:space="preserve">LIRA Account: Locked-In Retirement Account Rules in Canada</t>
  </si>
  <si>
    <t xml:space="preserve">LIRA account rules: pension money stays locked in until it moves to a LIF, whose federal minimum uses the RRIF factors, 5.28% at 71. Investing and FAQ.</t>
  </si>
  <si>
    <t xml:space="preserve">lira account</t>
  </si>
  <si>
    <t xml:space="preserve">what is a lira, lira rules canada, lira to lif</t>
  </si>
  <si>
    <t xml:space="preserve">rrif-minimum, retirement-income</t>
  </si>
  <si>
    <t xml:space="preserve">pages-paste/140-accounts-lira.html</t>
  </si>
  <si>
    <t xml:space="preserve">https://wealthscale.ca/accounts/lif/</t>
  </si>
  <si>
    <t xml:space="preserve">LIF Withdrawals: Minimum and Maximum</t>
  </si>
  <si>
    <t xml:space="preserve">LIF Withdrawal Rules: Minimum, Maximum, Tax and Splitting</t>
  </si>
  <si>
    <t xml:space="preserve">LIF withdrawal rules: the federal minimum uses RRIF factors, 4.00% at 65 and 5.28% at 71, and a formula caps the maximum until 90. Tax and examples.</t>
  </si>
  <si>
    <t xml:space="preserve">lif withdrawal</t>
  </si>
  <si>
    <t xml:space="preserve">lif maximum withdrawal 2026, life income fund rules</t>
  </si>
  <si>
    <t xml:space="preserve">rrif-minimum, retirement-income, table-filter</t>
  </si>
  <si>
    <t xml:space="preserve">pages-paste/141-accounts-lif.html</t>
  </si>
  <si>
    <t xml:space="preserve">https://wealthscale.ca/accounts/resp-withdrawal/</t>
  </si>
  <si>
    <t xml:space="preserve">RESP Withdrawals</t>
  </si>
  <si>
    <t xml:space="preserve">RESP Withdrawals: EAP and PSE Rules</t>
  </si>
  <si>
    <t xml:space="preserve">RESP Withdrawal Rules: EAP Limits, PSE Payments and Tax</t>
  </si>
  <si>
    <t xml:space="preserve">RESP withdrawal rules: contributions come back tax-free as PSE payments, and EAPs of grants and growth are taxed to the student, with an $8,000 first cap.</t>
  </si>
  <si>
    <t xml:space="preserve">resp withdrawal</t>
  </si>
  <si>
    <t xml:space="preserve">educational assistance payment, resp withdrawal limits, resp withdrawal tax</t>
  </si>
  <si>
    <t xml:space="preserve">resp-grant, compound-interest</t>
  </si>
  <si>
    <t xml:space="preserve">pages-paste/142-accounts-resp-withdrawal.html</t>
  </si>
  <si>
    <t xml:space="preserve">https://wealthscale.ca/accounts/canada-learning-bond/</t>
  </si>
  <si>
    <t xml:space="preserve">Canada Learning Bond</t>
  </si>
  <si>
    <t xml:space="preserve">Canada Learning Bond: Up to $2,000 With No Contribution</t>
  </si>
  <si>
    <t xml:space="preserve">Canada Learning Bond: Up to $2,000 and Who Qualifies</t>
  </si>
  <si>
    <t xml:space="preserve">The Canada Learning Bond pays up to $2,000 into an RESP for children of families with income up to $58,523, with no contribution needed. See how to apply.</t>
  </si>
  <si>
    <t xml:space="preserve">canada learning bond</t>
  </si>
  <si>
    <t xml:space="preserve">clb eligibility, canada learning bond income threshold, clb automatic enrolment</t>
  </si>
  <si>
    <t xml:space="preserve">resp-grant, savings-goal</t>
  </si>
  <si>
    <t xml:space="preserve">pages-paste/143-accounts-canada-learning-bond.html</t>
  </si>
  <si>
    <t xml:space="preserve">https://wealthscale.ca/accounts/family-vs-individual-resp/</t>
  </si>
  <si>
    <t xml:space="preserve">Family RESP vs Individual RESP</t>
  </si>
  <si>
    <t xml:space="preserve">Family RESP vs Individual RESP: Rules, Grants and Siblings</t>
  </si>
  <si>
    <t xml:space="preserve">Family RESP vs individual RESP: a family plan names several related children under 21, an individual plan names one, and each child has a $7,200 CESG cap.</t>
  </si>
  <si>
    <t xml:space="preserve">family resp vs individual resp</t>
  </si>
  <si>
    <t xml:space="preserve">family resp rules, individual resp sibling</t>
  </si>
  <si>
    <t xml:space="preserve">pages-paste/144-accounts-family-vs-individual-resp.html</t>
  </si>
  <si>
    <t xml:space="preserve">https://wealthscale.ca/accounts/provincial-resp-grants/</t>
  </si>
  <si>
    <t xml:space="preserve">Provincial RESP Grants</t>
  </si>
  <si>
    <t xml:space="preserve">Provincial RESP Grants: BCTESG and QESI</t>
  </si>
  <si>
    <t xml:space="preserve">BCTESG and QESI: Provincial RESP Grants in B.C. and Quebec</t>
  </si>
  <si>
    <t xml:space="preserve">The BCTESG pays a one-time $1,200 to B.C. children born in 2006 or later, and Quebec's QESI adds 10% of contributions, up to $3,600. See the rules.</t>
  </si>
  <si>
    <t xml:space="preserve">bctesg</t>
  </si>
  <si>
    <t xml:space="preserve">qesi, bc training and education savings grant, quebec education savings incentive</t>
  </si>
  <si>
    <t xml:space="preserve">pages-paste/145-accounts-provincial-resp-grants.html</t>
  </si>
  <si>
    <t xml:space="preserve">https://wealthscale.ca/accounts/accumulated-income-payment/</t>
  </si>
  <si>
    <t xml:space="preserve">RESP Accumulated Income Payment</t>
  </si>
  <si>
    <t xml:space="preserve">RESP Accumulated Income Payment (AIP)</t>
  </si>
  <si>
    <t xml:space="preserve">RESP Accumulated Income Payment: AIP Tax and RRSP Rollover</t>
  </si>
  <si>
    <t xml:space="preserve">An RESP accumulated income payment is taxed at your marginal rate plus 20% (12% in Quebec), unless up to $50,000 goes into your RRSP. See the rules.</t>
  </si>
  <si>
    <t xml:space="preserve">resp accumulated income payment</t>
  </si>
  <si>
    <t xml:space="preserve">aip resp tax, resp to rrsp transfer</t>
  </si>
  <si>
    <t xml:space="preserve">resp-grant, rrsp-refund</t>
  </si>
  <si>
    <t xml:space="preserve">pages-paste/146-accounts-accumulated-income-payment.html</t>
  </si>
  <si>
    <t xml:space="preserve">https://wealthscale.ca/accounts/non-registered-account/</t>
  </si>
  <si>
    <t xml:space="preserve">Non-Registered Investment Accounts Explained</t>
  </si>
  <si>
    <t xml:space="preserve">Non Registered Account: How Investment Income Is Taxed</t>
  </si>
  <si>
    <t xml:space="preserve">A non registered account has no limits but is taxed yearly. At $90,000 in Ontario, $1,000 of interest costs $296.50 in 2026 tax and a $1,000 gain $148.25.</t>
  </si>
  <si>
    <t xml:space="preserve">non registered account</t>
  </si>
  <si>
    <t xml:space="preserve">taxable investment account canada, non registered vs tfsa</t>
  </si>
  <si>
    <t xml:space="preserve">capital-gains, dividend-tax, us-withholding</t>
  </si>
  <si>
    <t xml:space="preserve">pages-paste/147-accounts-non-registered-account.html</t>
  </si>
  <si>
    <t xml:space="preserve">https://wealthscale.ca/vs/tfsa-vs-non-registered/</t>
  </si>
  <si>
    <t xml:space="preserve">/vs/</t>
  </si>
  <si>
    <t xml:space="preserve">TFSA vs Non-Registered Account</t>
  </si>
  <si>
    <t xml:space="preserve">TFSA vs Non Registered Account: Tax Drag and Which to Use</t>
  </si>
  <si>
    <t xml:space="preserve">TFSA vs non registered: a $100,000 portfolio earning 4% interest costs $1,259.20 a year in Ontario tax at $100,000 of income outside a TFSA, $0 inside.</t>
  </si>
  <si>
    <t xml:space="preserve">tfsa vs non registered</t>
  </si>
  <si>
    <t xml:space="preserve">tfsa or taxable account, invest outside tfsa</t>
  </si>
  <si>
    <t xml:space="preserve">versus-account</t>
  </si>
  <si>
    <t xml:space="preserve">tfsa-room, capital-gains, dividend-tax</t>
  </si>
  <si>
    <t xml:space="preserve">pages-paste/148-vs-tfsa-vs-non-registered.html</t>
  </si>
  <si>
    <t xml:space="preserve">https://wealthscale.ca/vs/rrif-vs-lif/</t>
  </si>
  <si>
    <t xml:space="preserve">RRIF vs LIF</t>
  </si>
  <si>
    <t xml:space="preserve">RRIF vs LIF: Minimums, Maximums, Tax and Key Differences</t>
  </si>
  <si>
    <t xml:space="preserve">RRIF vs LIF: both pay the same minimum, 5.28% at 71, but a LIF also has a yearly maximum before 90. Compare the rules, tax, withholding and examples.</t>
  </si>
  <si>
    <t xml:space="preserve">rrif vs lif</t>
  </si>
  <si>
    <t xml:space="preserve">difference between rrif and lif</t>
  </si>
  <si>
    <t xml:space="preserve">pages-paste/149-vs-rrif-vs-lif.html</t>
  </si>
  <si>
    <t xml:space="preserve">https://wealthscale.ca/tax/rrif-withdrawal-tax/</t>
  </si>
  <si>
    <t xml:space="preserve">RRIF Withdrawal Tax and Withholding</t>
  </si>
  <si>
    <t xml:space="preserve">RRIF Withholding Tax: Minimum, Excess Rates and Final Tax</t>
  </si>
  <si>
    <t xml:space="preserve">RRIF withholding tax: none on the minimum, then 10%, 20% or 30% on the excess outside Quebec. Final tax, pension splitting and OAS clawback examples.</t>
  </si>
  <si>
    <t xml:space="preserve">rrif withholding tax</t>
  </si>
  <si>
    <t xml:space="preserve">rrif withdrawal tax rate, rrif minimum no withholding</t>
  </si>
  <si>
    <t xml:space="preserve">rrif-minimum, rrsp-withdrawal, pension-split, oas-clawback</t>
  </si>
  <si>
    <t xml:space="preserve">pages-paste/150-tax-rrif-withdrawal-tax.html</t>
  </si>
  <si>
    <t xml:space="preserve">https://wealthscale.ca/benefits/canada-child-benefit/</t>
  </si>
  <si>
    <t xml:space="preserve">/benefits/</t>
  </si>
  <si>
    <t xml:space="preserve">Canada Child Benefit 2026-27</t>
  </si>
  <si>
    <t xml:space="preserve">Canada Child Benefit 2026-27: Amounts and Calculator</t>
  </si>
  <si>
    <t xml:space="preserve">Canada Child Benefit 2026-27: Amounts, Rules and Calculator</t>
  </si>
  <si>
    <t xml:space="preserve">Canada Child Benefit 2026-27: up to $8,157 a year per child under 6 and $6,883 per child aged 6 to 17, reduced once family income passes $38,237.</t>
  </si>
  <si>
    <t xml:space="preserve">canada child benefit</t>
  </si>
  <si>
    <t xml:space="preserve">ccb amount 2026, ccb calculator, child benefit canada</t>
  </si>
  <si>
    <t xml:space="preserve">benefit-guide</t>
  </si>
  <si>
    <t xml:space="preserve">ccb-calc, benefit-dates[ccb], resp-grant</t>
  </si>
  <si>
    <t xml:space="preserve">pages-paste/151-benefits-canada-child-benefit.html</t>
  </si>
  <si>
    <t xml:space="preserve">https://wealthscale.ca/compare/best-rrsp-for-etfs/</t>
  </si>
  <si>
    <t xml:space="preserve">Best RRSP Accounts for ETFs</t>
  </si>
  <si>
    <t xml:space="preserve">Best RRSP for ETFs 2026: 13 Brokers Ranked by ETF Score</t>
  </si>
  <si>
    <t xml:space="preserve">Best RRSP for ETFs 2026: 13 brokers ranked on our ETF score. Questrade and Wealthsimple lead at 4.7 / 5 with $0 ETF trades. 2026 RRSP limit: $33,810.</t>
  </si>
  <si>
    <t xml:space="preserve">best rrsp for etfs</t>
  </si>
  <si>
    <t xml:space="preserve">etf rrsp canada</t>
  </si>
  <si>
    <t xml:space="preserve">broker-cost, table-filter, rrsp-refund, fee-drag</t>
  </si>
  <si>
    <t xml:space="preserve">pages-paste/191-compare-best-rrsp-for-etfs.html</t>
  </si>
  <si>
    <t xml:space="preserve">https://wealthscale.ca/compare/best-tfsa-robo-advisors/</t>
  </si>
  <si>
    <t xml:space="preserve">Best Robo-Advisors for a TFSA</t>
  </si>
  <si>
    <t xml:space="preserve">Best Robo Advisor for TFSA 2026: 4 Managed TFSAs Compared</t>
  </si>
  <si>
    <t xml:space="preserve">Best robo advisor for TFSA 2026: four managed TFSAs ranked. Wealthsimple leads at 4.2 / 5; Questwealth costs $25.90 a year on the $7,000 TFSA limit.</t>
  </si>
  <si>
    <t xml:space="preserve">best robo advisor for tfsa</t>
  </si>
  <si>
    <t xml:space="preserve">managed tfsa canada</t>
  </si>
  <si>
    <t xml:space="preserve">robo-fee, table-filter, tfsa-room, fee-drag</t>
  </si>
  <si>
    <t xml:space="preserve">pages-paste/192-compare-best-tfsa-robo-advisors.html</t>
  </si>
  <si>
    <t xml:space="preserve">https://wealthscale.ca/compare/best-rrsp-robo-advisors/</t>
  </si>
  <si>
    <t xml:space="preserve">Best Robo-Advisors for an RRSP</t>
  </si>
  <si>
    <t xml:space="preserve">Best Robo Advisor for RRSP 2026: 4 Managed RRSPs Ranked</t>
  </si>
  <si>
    <t xml:space="preserve">Best robo advisor for RRSP 2026: four managed RRSPs ranked. Wealthsimple leads at 4.2 / 5; Questwealth costs $125.10 a year on the $33,810 RRSP limit.</t>
  </si>
  <si>
    <t xml:space="preserve">best robo advisor for rrsp</t>
  </si>
  <si>
    <t xml:space="preserve">managed rrsp canada</t>
  </si>
  <si>
    <t xml:space="preserve">robo-fee, table-filter, rrif-minimum, fee-drag</t>
  </si>
  <si>
    <t xml:space="preserve">pages-paste/193-compare-best-rrsp-robo-advisors.html</t>
  </si>
  <si>
    <t xml:space="preserve">https://wealthscale.ca/benefits/oas-payment-amounts/</t>
  </si>
  <si>
    <t xml:space="preserve">OAS Payment Amounts</t>
  </si>
  <si>
    <t xml:space="preserve">OAS Payment Amounts 2026</t>
  </si>
  <si>
    <t xml:space="preserve">OAS Payment Amount 2026: Maximums at 65 and 75, Partial OAS</t>
  </si>
  <si>
    <t xml:space="preserve">OAS payment amount 2026: up to $762.50 a month at 65 to 74 and $838.75 at 75 or older for October to December, plus partial and deferred OAS tables.</t>
  </si>
  <si>
    <t xml:space="preserve">oas payment amount 2026</t>
  </si>
  <si>
    <t xml:space="preserve">old age security amount, oas at 75, oas partial pension</t>
  </si>
  <si>
    <t xml:space="preserve">oas-clawback, benefit-dates[cpp_oas], retirement-income</t>
  </si>
  <si>
    <t xml:space="preserve">pages-paste/153-benefits-oas-payment-amounts.html</t>
  </si>
  <si>
    <t xml:space="preserve">https://wealthscale.ca/benefits/oas-clawback/</t>
  </si>
  <si>
    <t xml:space="preserve">OAS Clawback</t>
  </si>
  <si>
    <t xml:space="preserve">OAS Clawback 2026: Threshold and Calculator</t>
  </si>
  <si>
    <t xml:space="preserve">OAS Clawback 2026: $95,323 Threshold, 15% Rate, Examples</t>
  </si>
  <si>
    <t xml:space="preserve">OAS clawback 2026: you repay 15% of net world income above $95,323, taken from OAS from July 2027 to June 2028. Full clawback points and ways to cut it.</t>
  </si>
  <si>
    <t xml:space="preserve">oas clawback 2026</t>
  </si>
  <si>
    <t xml:space="preserve">oas recovery tax, oas clawback threshold 2026</t>
  </si>
  <si>
    <t xml:space="preserve">oas-clawback, pension-split, income-tax</t>
  </si>
  <si>
    <t xml:space="preserve">pages-paste/154-benefits-oas-clawback.html</t>
  </si>
  <si>
    <t xml:space="preserve">https://wealthscale.ca/benefits/guaranteed-income-supplement/</t>
  </si>
  <si>
    <t xml:space="preserve">Guaranteed Income Supplement (GIS)</t>
  </si>
  <si>
    <t xml:space="preserve">Guaranteed Income Supplement (GIS) 2026</t>
  </si>
  <si>
    <t xml:space="preserve">Guaranteed Income Supplement 2026: GIS Amounts and Limits</t>
  </si>
  <si>
    <t xml:space="preserve">Guaranteed Income Supplement 2026: up to $1,138.90 a month for a single senior with income under $23,112 (October to December), plus every couple limit.</t>
  </si>
  <si>
    <t xml:space="preserve">guaranteed income supplement</t>
  </si>
  <si>
    <t xml:space="preserve">gis amount 2026, gis income threshold, allowance</t>
  </si>
  <si>
    <t xml:space="preserve">gis-calc, benefit-dates[cpp_oas], retirement-income</t>
  </si>
  <si>
    <t xml:space="preserve">pages-paste/155-benefits-guaranteed-income-supplement.html</t>
  </si>
  <si>
    <t xml:space="preserve">https://wealthscale.ca/benefits/cpp-payment-amounts/</t>
  </si>
  <si>
    <t xml:space="preserve">CPP Payment Amounts 2026</t>
  </si>
  <si>
    <t xml:space="preserve">CPP Payment Amount 2026: Maximum, Average and Start Age</t>
  </si>
  <si>
    <t xml:space="preserve">CPP payment amount 2026: the maximum at 65 is $1,507.65 a month and the average new pension is $858.34. See your CPP at every start age from 60 to 70.</t>
  </si>
  <si>
    <t xml:space="preserve">cpp payment amount 2026</t>
  </si>
  <si>
    <t xml:space="preserve">maximum cpp 2026, average cpp payment, cpp at 60</t>
  </si>
  <si>
    <t xml:space="preserve">cpp-start-age, benefit-dates[cpp_oas], retirement-income</t>
  </si>
  <si>
    <t xml:space="preserve">pages-paste/156-benefits-cpp-payment-amounts.html</t>
  </si>
  <si>
    <t xml:space="preserve">https://wealthscale.ca/calculators/cpp-calculator/</t>
  </si>
  <si>
    <t xml:space="preserve">CPP Calculator</t>
  </si>
  <si>
    <t xml:space="preserve">CPP Calculator: When to Start Your Pension</t>
  </si>
  <si>
    <t xml:space="preserve">CPP Calculator: CPP at 60, 65 or 70 and Break-Even Ages</t>
  </si>
  <si>
    <t xml:space="preserve">CPP calculator: compare your CPP at 60, 65 or 70. A 70 start pays 42% more and, with no investment return assumed, overtakes a 65 start at about 81.9.</t>
  </si>
  <si>
    <t xml:space="preserve">cpp calculator</t>
  </si>
  <si>
    <t xml:space="preserve">cpp at 60 or 65 or 70, cpp break even</t>
  </si>
  <si>
    <t xml:space="preserve">cpp-start-age, retirement-income, benefit-dates[cpp_oas]</t>
  </si>
  <si>
    <t xml:space="preserve">pages-paste/157-calculators-cpp-calculator.html</t>
  </si>
  <si>
    <t xml:space="preserve">https://wealthscale.ca/calculators/oas-calculator/</t>
  </si>
  <si>
    <t xml:space="preserve">OAS Calculator</t>
  </si>
  <si>
    <t xml:space="preserve">OAS Calculator: Amount, Deferral and Clawback</t>
  </si>
  <si>
    <t xml:space="preserve">OAS Calculator: Amount, Deferral to 70 and Clawback</t>
  </si>
  <si>
    <t xml:space="preserve">OAS calculator: see your Old Age Security at any start age from 65 to 70, a partial pension by years in Canada and the 15% clawback above $95,323.</t>
  </si>
  <si>
    <t xml:space="preserve">oas calculator</t>
  </si>
  <si>
    <t xml:space="preserve">oas deferral calculator, oas clawback calculator</t>
  </si>
  <si>
    <t xml:space="preserve">oas-clawback, retirement-income, benefit-dates[cpp_oas]</t>
  </si>
  <si>
    <t xml:space="preserve">pages-paste/158-calculators-oas-calculator.html</t>
  </si>
  <si>
    <t xml:space="preserve">https://wealthscale.ca/benefits/canada-disability-benefit/</t>
  </si>
  <si>
    <t xml:space="preserve">Canada Disability Benefit 2026</t>
  </si>
  <si>
    <t xml:space="preserve">Canada Disability Benefit 2026: Amounts and Eligibility</t>
  </si>
  <si>
    <t xml:space="preserve">Canada Disability Benefit 2026: up to $204.20 a month from July 2026 to June 2027 for people aged 18 to 64 who are approved for the disability tax credit.</t>
  </si>
  <si>
    <t xml:space="preserve">canada disability benefit</t>
  </si>
  <si>
    <t xml:space="preserve">cdb amount, cdb eligibility, how to apply canada disability benefit</t>
  </si>
  <si>
    <t xml:space="preserve">cdb-calc, benefit-dates[cdb]</t>
  </si>
  <si>
    <t xml:space="preserve">pages-paste/159-benefits-canada-disability-benefit.html</t>
  </si>
  <si>
    <t xml:space="preserve">https://wealthscale.ca/benefits/ontario-trillium-benefit/</t>
  </si>
  <si>
    <t xml:space="preserve">Ontario Trillium Benefit 2026-27</t>
  </si>
  <si>
    <t xml:space="preserve">Ontario Trillium Benefit 2026-27: Amounts and Calculator</t>
  </si>
  <si>
    <t xml:space="preserve">Ontario Trillium Benefit 2026-27: up to $1,307 for energy and property tax ($1,488 for seniors), plus $378 per person in sales tax credit. See your amount.</t>
  </si>
  <si>
    <t xml:space="preserve">ontario trillium benefit</t>
  </si>
  <si>
    <t xml:space="preserve">otb payment, ontario energy and property tax credit, ontario sales tax credit</t>
  </si>
  <si>
    <t xml:space="preserve">otb-calc, benefit-dates[otb]</t>
  </si>
  <si>
    <t xml:space="preserve">pages-paste/160-benefits-ontario-trillium-benefit.html</t>
  </si>
  <si>
    <t xml:space="preserve">https://wealthscale.ca/benefits/canada-workers-benefit/</t>
  </si>
  <si>
    <t xml:space="preserve">Canada Workers Benefit 2026</t>
  </si>
  <si>
    <t xml:space="preserve">Canada Workers Benefit 2026: Amounts, Calculator and Dates</t>
  </si>
  <si>
    <t xml:space="preserve">Canada Workers Benefit 2026: up to $1,665 single or $2,869 for a family, plus an $860 disability supplement. Amounts, calculator, advance dates and rules.</t>
  </si>
  <si>
    <t xml:space="preserve">canada workers benefit</t>
  </si>
  <si>
    <t xml:space="preserve">cwb amount 2026, advanced canada workers benefit, cwb disability supplement</t>
  </si>
  <si>
    <t xml:space="preserve">cwb-calc, benefit-dates[acwb], take-home-pay</t>
  </si>
  <si>
    <t xml:space="preserve">pages-paste/161-benefits-canada-workers-benefit.html</t>
  </si>
  <si>
    <t xml:space="preserve">https://wealthscale.ca/benefits/allowance-for-the-survivor/</t>
  </si>
  <si>
    <t xml:space="preserve">Allowance and Allowance for the Survivor</t>
  </si>
  <si>
    <t xml:space="preserve">Allowance for the Survivor: Amounts, Income Limits and Rules</t>
  </si>
  <si>
    <t xml:space="preserve">Allowance for the Survivor pays up to $1,726.18 a month at 60 to 64 if income is under $31,152; the Allowance pays up to $1,448.06. Rules and examples.</t>
  </si>
  <si>
    <t xml:space="preserve">allowance for the survivor</t>
  </si>
  <si>
    <t xml:space="preserve">allowance 60 to 64, survivor allowance amount</t>
  </si>
  <si>
    <t xml:space="preserve">pages-paste/162-benefits-allowance-for-the-survivor.html</t>
  </si>
  <si>
    <t xml:space="preserve">https://wealthscale.ca/benefits/ontario-trillium-benefit-payment-dates/</t>
  </si>
  <si>
    <t xml:space="preserve">Ontario Trillium Benefit Payment Dates</t>
  </si>
  <si>
    <t xml:space="preserve">Ontario Trillium Benefit Payment Dates 2026 and June Option</t>
  </si>
  <si>
    <t xml:space="preserve">Ontario Trillium Benefit payment dates: the next OTB deposit is November 10, 2026, then December 10. Paid on the 10th, or once on June 10, 2027.</t>
  </si>
  <si>
    <t xml:space="preserve">ontario trillium benefit payment dates</t>
  </si>
  <si>
    <t xml:space="preserve">otb payment dates 2026, otb lump sum june</t>
  </si>
  <si>
    <t xml:space="preserve">benefit-dates</t>
  </si>
  <si>
    <t xml:space="preserve">benefit-dates[otb], otb-calc</t>
  </si>
  <si>
    <t xml:space="preserve">pages-paste/163-benefits-ontario-trillium-benefit-payment-dates.html</t>
  </si>
  <si>
    <t xml:space="preserve">https://wealthscale.ca/benefits/canada-disability-benefit-payment-dates/</t>
  </si>
  <si>
    <t xml:space="preserve">Canada Disability Benefit Payment Dates</t>
  </si>
  <si>
    <t xml:space="preserve">Canada Disability Benefit Payment Dates 2026 and 2027</t>
  </si>
  <si>
    <t xml:space="preserve">Canada Disability Benefit payment dates 2026: the next payment is Thursday, November 19, then December 17. Up to $204.20 a month; 2027 dates not out yet.</t>
  </si>
  <si>
    <t xml:space="preserve">canada disability benefit payment dates</t>
  </si>
  <si>
    <t xml:space="preserve">cdb payment dates 2026</t>
  </si>
  <si>
    <t xml:space="preserve">benefit-dates[cdb], cdb-calc</t>
  </si>
  <si>
    <t xml:space="preserve">pages-paste/164-benefits-canada-disability-benefit-payment-dates.html</t>
  </si>
  <si>
    <t xml:space="preserve">https://wealthscale.ca/calculators/retirement-calculator/</t>
  </si>
  <si>
    <t xml:space="preserve">Retirement Calculator Canada</t>
  </si>
  <si>
    <t xml:space="preserve">Retirement Calculator Canada: Savings, CPP and OAS Income</t>
  </si>
  <si>
    <t xml:space="preserve">Retirement calculator Canada: add your savings, CPP and OAS. $150,000 plus $750 a month at an assumed 5% gives $65,969 a year at 65 before tax.</t>
  </si>
  <si>
    <t xml:space="preserve">retirement calculator canada</t>
  </si>
  <si>
    <t xml:space="preserve">how much do i need to retire canada, retirement income calculator</t>
  </si>
  <si>
    <t xml:space="preserve">retirement-income, cpp-start-age, oas-clawback, compound-interest</t>
  </si>
  <si>
    <t xml:space="preserve">pages-paste/165-calculators-retirement-calculator.html</t>
  </si>
  <si>
    <t xml:space="preserve">https://wealthscale.ca/calculators/gic-calculator/</t>
  </si>
  <si>
    <t xml:space="preserve">GIC Calculator</t>
  </si>
  <si>
    <t xml:space="preserve">GIC Calculator: Interest, Maturity Value and Tax on a GIC</t>
  </si>
  <si>
    <t xml:space="preserve">GIC calculator: see what a GIC pays at maturity and the tax on its interest. $10,000 at 4.50% for 5 years grows to $12,461.82 when compounded yearly.</t>
  </si>
  <si>
    <t xml:space="preserve">gic calculator</t>
  </si>
  <si>
    <t xml:space="preserve">gic interest calculator, compound gic calculator</t>
  </si>
  <si>
    <t xml:space="preserve">gic-calc, gic-ladder, deposit-insurance, table-filter</t>
  </si>
  <si>
    <t xml:space="preserve">pages-paste/166-calculators-gic-calculator.html</t>
  </si>
  <si>
    <t xml:space="preserve">https://wealthscale.ca/calculators/savings-interest-calculator/</t>
  </si>
  <si>
    <t xml:space="preserve">Savings Interest Calculator</t>
  </si>
  <si>
    <t xml:space="preserve">Savings Interest Calculator: How Much Interest Will I Earn?</t>
  </si>
  <si>
    <t xml:space="preserve">Savings interest calculator: $20,000 at 2.85% earns $577.50 in a year with interest paid monthly. Compare every everyday rate, daily interest and tax.</t>
  </si>
  <si>
    <t xml:space="preserve">savings interest calculator</t>
  </si>
  <si>
    <t xml:space="preserve">how much interest will i earn canada, hisa calculator</t>
  </si>
  <si>
    <t xml:space="preserve">hisa-earnings, savings-goal, compound-interest, table-filter</t>
  </si>
  <si>
    <t xml:space="preserve">pages-paste/167-calculators-savings-interest-calculator.html</t>
  </si>
  <si>
    <t xml:space="preserve">https://wealthscale.ca/calculators/net-worth-calculator/</t>
  </si>
  <si>
    <t xml:space="preserve">Net Worth Calculator Canada</t>
  </si>
  <si>
    <t xml:space="preserve">Net Worth Calculator Canada: Assets, Debts, After-Tax Value</t>
  </si>
  <si>
    <t xml:space="preserve">Net worth calculator Canada: add what you own, subtract what you owe. A household with $1,150,000 of assets and $566,000 of debt is worth $584,000.</t>
  </si>
  <si>
    <t xml:space="preserve">net worth calculator canada</t>
  </si>
  <si>
    <t xml:space="preserve">how to calculate net worth, net worth by age canada</t>
  </si>
  <si>
    <t xml:space="preserve">net-worth, savings-goal, compound-interest</t>
  </si>
  <si>
    <t xml:space="preserve">pages-paste/168-calculators-net-worth-calculator.html</t>
  </si>
  <si>
    <t xml:space="preserve">https://wealthscale.ca/calculators/dividend-tax-calculator/</t>
  </si>
  <si>
    <t xml:space="preserve">Dividend Tax Calculator Canada 2026</t>
  </si>
  <si>
    <t xml:space="preserve">Dividend Tax Calculator Canada 2026: Eligible and Other</t>
  </si>
  <si>
    <t xml:space="preserve">Dividend tax calculator for 2026: tax on eligible and other dividends in 7 provinces. $8,000 of eligible dividends at $75,000 in Ontario costs $511.17.</t>
  </si>
  <si>
    <t xml:space="preserve">dividend tax calculator</t>
  </si>
  <si>
    <t xml:space="preserve">eligible dividend tax calculator, dividend tax rate ontario</t>
  </si>
  <si>
    <t xml:space="preserve">dividend-tax, income-tax, table-filter</t>
  </si>
  <si>
    <t xml:space="preserve">pages-paste/170-calculators-dividend-tax-calculator.html</t>
  </si>
  <si>
    <t xml:space="preserve">https://wealthscale.ca/calculators/rrsp-withdrawal-calculator/</t>
  </si>
  <si>
    <t xml:space="preserve">RRSP Withdrawal Calculator</t>
  </si>
  <si>
    <t xml:space="preserve">RRSP Withdrawal Calculator: Withholding and Final Tax</t>
  </si>
  <si>
    <t xml:space="preserve">RRSP withdrawal calculator for 2026: see the 10%, 20% or 30% withheld and your final tax. $10,000 on $60,000 of Ontario income costs $2,965.</t>
  </si>
  <si>
    <t xml:space="preserve">rrsp withdrawal calculator</t>
  </si>
  <si>
    <t xml:space="preserve">rrsp withdrawal tax calculator</t>
  </si>
  <si>
    <t xml:space="preserve">rrsp-withdrawal, rrsp-refund, hbp-repayment, table-filter</t>
  </si>
  <si>
    <t xml:space="preserve">pages-paste/171-calculators-rrsp-withdrawal-calculator.html</t>
  </si>
  <si>
    <t xml:space="preserve">https://wealthscale.ca/compare/best-joint-investment-accounts/</t>
  </si>
  <si>
    <t xml:space="preserve">Best Joint Investment Accounts in Canada</t>
  </si>
  <si>
    <t xml:space="preserve">Joint Investment Account Canada 2026: 7 Brokers Ranked</t>
  </si>
  <si>
    <t xml:space="preserve">Joint investment account Canada 2026: 7 brokers with joint accounts ranked. Questrade leads at 4.3 / 5 with $0 trades and no account fee on any balance.</t>
  </si>
  <si>
    <t xml:space="preserve">joint investment account canada</t>
  </si>
  <si>
    <t xml:space="preserve">joint brokerage account canada, joint account attribution</t>
  </si>
  <si>
    <t xml:space="preserve">broker-match, table-filter, broker-cost, margin-interest</t>
  </si>
  <si>
    <t xml:space="preserve">pages-paste/194-compare-best-joint-investment-accounts.html</t>
  </si>
  <si>
    <t xml:space="preserve">https://wealthscale.ca/compare/best-corporate-investment-accounts/</t>
  </si>
  <si>
    <t xml:space="preserve">Best Corporate Investment Accounts in Canada</t>
  </si>
  <si>
    <t xml:space="preserve">Corporate Investment Account Canada 2026: 10 Brokers Ranked</t>
  </si>
  <si>
    <t xml:space="preserve">Corporate investment account Canada 2026: 10 brokers ranked for holding companies. Questrade leads at 4.3 / 5 with $0 trades and no account fee.</t>
  </si>
  <si>
    <t xml:space="preserve">corporate investment account canada</t>
  </si>
  <si>
    <t xml:space="preserve">corporate brokerage account canada, invest through a corporation, holding company investment account</t>
  </si>
  <si>
    <t xml:space="preserve">broker-match, table-filter, broker-cost</t>
  </si>
  <si>
    <t xml:space="preserve">pages-paste/195-compare-best-corporate-investment-accounts.html</t>
  </si>
  <si>
    <t xml:space="preserve">https://wealthscale.ca/benefits/ccb-payment-dates/</t>
  </si>
  <si>
    <t xml:space="preserve">CCB Payment Dates 2026 and 2027</t>
  </si>
  <si>
    <t xml:space="preserve">CCB Payment Dates 2026: Every Canada Child Benefit Date</t>
  </si>
  <si>
    <t xml:space="preserve">CCB payment dates 2026: the next Canada Child Benefit payment is Friday, November 20, then December 11. The 2027 dates have not been published yet.</t>
  </si>
  <si>
    <t xml:space="preserve">ccb payment dates 2026</t>
  </si>
  <si>
    <t xml:space="preserve">canada child benefit payment dates, when is ccb paid</t>
  </si>
  <si>
    <t xml:space="preserve">benefit-dates[ccb], ccb-calc</t>
  </si>
  <si>
    <t xml:space="preserve">pages-paste/152-benefits-ccb-payment-dates.html</t>
  </si>
  <si>
    <t xml:space="preserve">https://wealthscale.ca/calculators/ccb-calculator/</t>
  </si>
  <si>
    <t xml:space="preserve">CCB Calculator 2026-27</t>
  </si>
  <si>
    <t xml:space="preserve">CCB Calculator 2026-27: Canada Child Benefit Estimate</t>
  </si>
  <si>
    <t xml:space="preserve">CCB calculator for July 2026 to June 2027: estimate your Canada Child Benefit from 2025 family income, up to $8,157 a year per child under 6.</t>
  </si>
  <si>
    <t xml:space="preserve">ccb calculator</t>
  </si>
  <si>
    <t xml:space="preserve">canada child benefit calculator, how much ccb will i get</t>
  </si>
  <si>
    <t xml:space="preserve">ccb-calc, benefit-dates[ccb]</t>
  </si>
  <si>
    <t xml:space="preserve">pages-paste/169-calculators-ccb-calculator.html</t>
  </si>
  <si>
    <t xml:space="preserve">https://wealthscale.ca/calculators/mortgage-payment-calculator/</t>
  </si>
  <si>
    <t xml:space="preserve">Mortgage Payment Calculator</t>
  </si>
  <si>
    <t xml:space="preserve">Mortgage Payment Calculator Canada</t>
  </si>
  <si>
    <t xml:space="preserve">Mortgage Payment Calculator: Monthly, Biweekly and Weekly</t>
  </si>
  <si>
    <t xml:space="preserve">Mortgage payment calculator with Canadian semi-annual compounding. A $500,000 loan over 25 years at an example 4.50% rate costs $2,767.36 a month.</t>
  </si>
  <si>
    <t xml:space="preserve">mortgage payment calculator</t>
  </si>
  <si>
    <t xml:space="preserve">mortgage calculator canada, mortgage amortization schedule, biweekly mortgage payment</t>
  </si>
  <si>
    <t xml:space="preserve">mortgage-payment, mortgage-affordability</t>
  </si>
  <si>
    <t xml:space="preserve">pages-paste/172-calculators-mortgage-payment-calculator.html</t>
  </si>
  <si>
    <t xml:space="preserve">https://wealthscale.ca/calculators/mortgage-affordability-calculator/</t>
  </si>
  <si>
    <t xml:space="preserve">Mortgage Affordability Calculator</t>
  </si>
  <si>
    <t xml:space="preserve">Mortgage Affordability Calculator Canada</t>
  </si>
  <si>
    <t xml:space="preserve">Mortgage Affordability Calculator: GDS, TDS and Stress Test</t>
  </si>
  <si>
    <t xml:space="preserve">Mortgage affordability calculator for Canada using the 39% GDS and 44% TDS limits and a stress test at the greater of your rate plus 2% or 5.25%.</t>
  </si>
  <si>
    <t xml:space="preserve">mortgage affordability calculator</t>
  </si>
  <si>
    <t xml:space="preserve">how much house can i afford canada, gds tds calculator, stress test calculator</t>
  </si>
  <si>
    <t xml:space="preserve">mortgage-affordability, mortgage-payment, land-transfer-tax, first-home</t>
  </si>
  <si>
    <t xml:space="preserve">pages-paste/173-calculators-mortgage-affordability-calculator.html</t>
  </si>
  <si>
    <t xml:space="preserve">https://wealthscale.ca/calculators/land-transfer-tax-calculator/</t>
  </si>
  <si>
    <t xml:space="preserve">Land Transfer Tax Calculator</t>
  </si>
  <si>
    <t xml:space="preserve">Land Transfer Tax Calculator Canada</t>
  </si>
  <si>
    <t xml:space="preserve">Land Transfer Tax Calculator: Every Province and Toronto</t>
  </si>
  <si>
    <t xml:space="preserve">Land transfer tax calculator for every province, Toronto and Montreal. A $700,000 Toronto home costs $20,950 before first-time buyer rebates of $8,475.</t>
  </si>
  <si>
    <t xml:space="preserve">land transfer tax calculator</t>
  </si>
  <si>
    <t xml:space="preserve">ontario land transfer tax calculator, toronto land transfer tax, bc property transfer tax calculator</t>
  </si>
  <si>
    <t xml:space="preserve">land-transfer-tax, mortgage-payment, first-home</t>
  </si>
  <si>
    <t xml:space="preserve">pages-paste/174-calculators-land-transfer-tax-calculator.html</t>
  </si>
  <si>
    <t xml:space="preserve">https://wealthscale.ca/calculators/cmhc-insurance-calculator/</t>
  </si>
  <si>
    <t xml:space="preserve">CMHC Insurance Calculator</t>
  </si>
  <si>
    <t xml:space="preserve">CMHC Mortgage Insurance Calculator</t>
  </si>
  <si>
    <t xml:space="preserve">CMHC Insurance Calculator: Premiums, Down Payment and Tax</t>
  </si>
  <si>
    <t xml:space="preserve">CMHC insurance calculator for buyers with under 20% down. With the minimum $25,000 down on a $500,000 home, the 4.00% premium adds $19,000 to the loan.</t>
  </si>
  <si>
    <t xml:space="preserve">cmhc insurance calculator</t>
  </si>
  <si>
    <t xml:space="preserve">mortgage default insurance premium, cmhc premium rates</t>
  </si>
  <si>
    <t xml:space="preserve">mortgage-affordability, mortgage-payment</t>
  </si>
  <si>
    <t xml:space="preserve">pages-paste/175-calculators-cmhc-insurance-calculator.html</t>
  </si>
  <si>
    <t xml:space="preserve">https://wealthscale.ca/reviews/wealthsimple/rrsp/</t>
  </si>
  <si>
    <t xml:space="preserve">/reviews/wealthsimple/</t>
  </si>
  <si>
    <t xml:space="preserve">Wealthsimple RRSP Review</t>
  </si>
  <si>
    <t xml:space="preserve">Wealthsimple RRSP Review: Fees, Spousal RRSP and Withdrawals</t>
  </si>
  <si>
    <t xml:space="preserve">Wealthsimple RRSP review: $0 stock and ETF commissions, managed from 0.5% a year, spousal and group RRSPs, no withdrawal fee, and HBP and LLP support.</t>
  </si>
  <si>
    <t xml:space="preserve">wealthsimple rrsp</t>
  </si>
  <si>
    <t xml:space="preserve">wealthsimple spousal rrsp, wealthsimple rrsp fees</t>
  </si>
  <si>
    <t xml:space="preserve">ws-review</t>
  </si>
  <si>
    <t xml:space="preserve">rrsp-refund, broker-cost, ws-tier, hbp-repayment</t>
  </si>
  <si>
    <t xml:space="preserve">pages-paste/176-reviews-wealthsimple-rrsp.html</t>
  </si>
  <si>
    <t xml:space="preserve">https://wealthscale.ca/reviews/wealthsimple/resp/</t>
  </si>
  <si>
    <t xml:space="preserve">Wealthsimple RESP Review</t>
  </si>
  <si>
    <t xml:space="preserve">Wealthsimple RESP Review: Family RESP, Grants and Fees</t>
  </si>
  <si>
    <t xml:space="preserve">Wealthsimple RESP review: family and individual plans, CESG, CLB and QESI applied for you, $0 trades, and a 0.5% managed fee waived for CLB families.</t>
  </si>
  <si>
    <t xml:space="preserve">wealthsimple resp</t>
  </si>
  <si>
    <t xml:space="preserve">wealthsimple family resp, wealthsimple resp fees</t>
  </si>
  <si>
    <t xml:space="preserve">resp-grant, ws-tier</t>
  </si>
  <si>
    <t xml:space="preserve">pages-paste/177-reviews-wealthsimple-resp.html</t>
  </si>
  <si>
    <t xml:space="preserve">https://wealthscale.ca/reviews/wealthsimple/margin/</t>
  </si>
  <si>
    <t xml:space="preserve">Wealthsimple Margin Account Review</t>
  </si>
  <si>
    <t xml:space="preserve">Wealthsimple Margin Account Review: Rates, Calls and Rules</t>
  </si>
  <si>
    <t xml:space="preserve">Wealthsimple margin rates are 4.95% on Core, 4.45% on Premium and 3.95% on Generation. Eligibility, the $1,000 restricted limit, margin calls and examples.</t>
  </si>
  <si>
    <t xml:space="preserve">wealthsimple margin</t>
  </si>
  <si>
    <t xml:space="preserve">wealthsimple margin rate, wealthsimple margin call</t>
  </si>
  <si>
    <t xml:space="preserve">margin-interest, ws-tier</t>
  </si>
  <si>
    <t xml:space="preserve">pages-paste/178-reviews-wealthsimple-margin.html</t>
  </si>
  <si>
    <t xml:space="preserve">https://wealthscale.ca/reviews/wealthsimple/options/</t>
  </si>
  <si>
    <t xml:space="preserve">Wealthsimple Options Trading Review</t>
  </si>
  <si>
    <t xml:space="preserve">Wealthsimple Options Trading Review: Fees, Levels and TFSA</t>
  </si>
  <si>
    <t xml:space="preserve">Wealthsimple options trading costs $0 per contract on equity and ETF options, with a US$45 early exercise fee. Approval, TFSA strategies, risks and costs.</t>
  </si>
  <si>
    <t xml:space="preserve">wealthsimple options</t>
  </si>
  <si>
    <t xml:space="preserve">wealthsimple options fees, wealthsimple options tfsa</t>
  </si>
  <si>
    <t xml:space="preserve">options-cost, ws-tier</t>
  </si>
  <si>
    <t xml:space="preserve">pages-paste/179-reviews-wealthsimple-options.html</t>
  </si>
  <si>
    <t xml:space="preserve">https://wealthscale.ca/reviews/wealthsimple/savings-account/</t>
  </si>
  <si>
    <t xml:space="preserve">Wealthsimple Savings Account Review</t>
  </si>
  <si>
    <t xml:space="preserve">Wealthsimple Savings Account Review: Rate, Limits, Coverage</t>
  </si>
  <si>
    <t xml:space="preserve">Wealthsimple savings account review: 2.5% for every client, interest calculated daily and paid monthly, $0 fees, no withdrawal limits and CIPF cover.</t>
  </si>
  <si>
    <t xml:space="preserve">wealthsimple savings account</t>
  </si>
  <si>
    <t xml:space="preserve">wealthsimple savings rate, wealthsimple hisa</t>
  </si>
  <si>
    <t xml:space="preserve">hisa-earnings, cipf-coverage, ws-tier</t>
  </si>
  <si>
    <t xml:space="preserve">pages-paste/180-reviews-wealthsimple-savings-account.html</t>
  </si>
  <si>
    <t xml:space="preserve">https://wealthscale.ca/reviews/wealthsimple/institution-transit-number/</t>
  </si>
  <si>
    <t xml:space="preserve">Wealthsimple Institution and Transit Number</t>
  </si>
  <si>
    <t xml:space="preserve">Wealthsimple Institution Number: 703, Transit 00001 Guide</t>
  </si>
  <si>
    <t xml:space="preserve">Wealthsimple institution number is 703 and the transit number is 00001. Find your account number, download a void cheque and set up direct deposit.</t>
  </si>
  <si>
    <t xml:space="preserve">wealthsimple institution number</t>
  </si>
  <si>
    <t xml:space="preserve">wealthsimple transit number, wealthsimple void cheque, wealthsimple direct deposit form</t>
  </si>
  <si>
    <t xml:space="preserve">ws-guide</t>
  </si>
  <si>
    <t xml:space="preserve">chequing-cost, ws-tier, benefit-dates</t>
  </si>
  <si>
    <t xml:space="preserve">pages-paste/181-reviews-wealthsimple-institution-transit-number.html</t>
  </si>
  <si>
    <t xml:space="preserve">https://wealthscale.ca/vs/wealthsimple-vs-td-direct-investing/</t>
  </si>
  <si>
    <t xml:space="preserve">Wealthsimple vs TD Direct Investing</t>
  </si>
  <si>
    <t xml:space="preserve">Wealthsimple vs TD Direct Investing: Fees and Accounts</t>
  </si>
  <si>
    <t xml:space="preserve">Wealthsimple vs TD Direct Investing: $0 trades against $9.99. Wealthsimple scores 4.2 / 5 and TD 2.4 / 5. Compare TD Easy Trade, USD accounts and fees.</t>
  </si>
  <si>
    <t xml:space="preserve">wealthsimple vs td direct investing</t>
  </si>
  <si>
    <t xml:space="preserve">td or wealthsimple</t>
  </si>
  <si>
    <t xml:space="preserve">versus-platform</t>
  </si>
  <si>
    <t xml:space="preserve">broker-cost, transfer-fee, broker-match</t>
  </si>
  <si>
    <t xml:space="preserve">pages-paste/182-vs-wealthsimple-vs-td-direct-investing.html</t>
  </si>
  <si>
    <t xml:space="preserve">https://wealthscale.ca/vs/wealthsimple-vs-rbc-direct-investing/</t>
  </si>
  <si>
    <t xml:space="preserve">Wealthsimple vs RBC Direct Investing</t>
  </si>
  <si>
    <t xml:space="preserve">Wealthsimple vs RBC Direct Investing: Fees and GoSmart</t>
  </si>
  <si>
    <t xml:space="preserve">Wealthsimple vs RBC Direct Investing: $0 trades against $9.95, or 50 $0 GoSmart trades a year. Wealthsimple scores 4.2 / 5 and RBC 2.7 / 5. Compare fees.</t>
  </si>
  <si>
    <t xml:space="preserve">wealthsimple vs rbc direct investing</t>
  </si>
  <si>
    <t xml:space="preserve">rbc or wealthsimple</t>
  </si>
  <si>
    <t xml:space="preserve">pages-paste/183-vs-wealthsimple-vs-rbc-direct-investing.html</t>
  </si>
  <si>
    <t xml:space="preserve">https://wealthscale.ca/vs/wealthsimple-vs-webull/</t>
  </si>
  <si>
    <t xml:space="preserve">Wealthsimple vs Webull</t>
  </si>
  <si>
    <t xml:space="preserve">Wealthsimple vs Webull: Fees, Options and Accounts</t>
  </si>
  <si>
    <t xml:space="preserve">Wealthsimple vs Webull: both charge $0 on stock trades, but Webull adds $0.70 a month per account and US$0.99 per option. Scores: 4.2 / 5 vs 3.2 / 5.</t>
  </si>
  <si>
    <t xml:space="preserve">wealthsimple vs webull</t>
  </si>
  <si>
    <t xml:space="preserve">webull or wealthsimple</t>
  </si>
  <si>
    <t xml:space="preserve">broker-cost, options-cost, transfer-fee</t>
  </si>
  <si>
    <t xml:space="preserve">pages-paste/184-vs-wealthsimple-vs-webull.html</t>
  </si>
  <si>
    <t xml:space="preserve">https://wealthscale.ca/vs/wealthsimple-tax-vs-turbotax/</t>
  </si>
  <si>
    <t xml:space="preserve">Wealthsimple Tax vs TurboTax</t>
  </si>
  <si>
    <t xml:space="preserve">Wealthsimple Tax vs TurboTax: Prices, Quebec and Help</t>
  </si>
  <si>
    <t xml:space="preserve">Wealthsimple Tax vs TurboTax: Basic is pay what you want, including $0, for every income type; TurboTax Free covers simple returns. Scores: 4.8 vs 4.5.</t>
  </si>
  <si>
    <t xml:space="preserve">wealthsimple tax vs turbotax</t>
  </si>
  <si>
    <t xml:space="preserve">turbotax or wealthsimple tax</t>
  </si>
  <si>
    <t xml:space="preserve">tax-software-picker, income-tax</t>
  </si>
  <si>
    <t xml:space="preserve">pages-paste/185-vs-wealthsimple-tax-vs-turbotax.html</t>
  </si>
  <si>
    <t xml:space="preserve">https://wealthscale.ca/banking/best-student-bank-accounts/</t>
  </si>
  <si>
    <t xml:space="preserve">Best Student Bank Accounts in Canada</t>
  </si>
  <si>
    <t xml:space="preserve">Best Student Bank Account Canada 2026: 7 Accounts Compared</t>
  </si>
  <si>
    <t xml:space="preserve">Best student bank account Canada guide for 2026: 7 accounts with a $0 monthly fee, ordered by e-Transfers, ATM fees and how long the $0 lasts.</t>
  </si>
  <si>
    <t xml:space="preserve">best student bank account canada</t>
  </si>
  <si>
    <t xml:space="preserve">student chequing account canada, free bank account for students</t>
  </si>
  <si>
    <t xml:space="preserve">table-filter, chequing-cost, savings-goal</t>
  </si>
  <si>
    <t xml:space="preserve">pages-paste/196-banking-best-student-bank-accounts.html</t>
  </si>
  <si>
    <t xml:space="preserve">https://wealthscale.ca/banking/best-bank-accounts-for-newcomers/</t>
  </si>
  <si>
    <t xml:space="preserve">Best Bank Accounts for Newcomers to Canada</t>
  </si>
  <si>
    <t xml:space="preserve">Best Bank for Newcomers Canada 2026: 8 Packages Compared</t>
  </si>
  <si>
    <t xml:space="preserve">Best bank for newcomers Canada guide for 2026: 8 newcomer packages compared on 3-year fees from $0 to $430.80, documents and credit cards without history.</t>
  </si>
  <si>
    <t xml:space="preserve">best bank for newcomers canada</t>
  </si>
  <si>
    <t xml:space="preserve">newcomer bank account canada, bank account for international students</t>
  </si>
  <si>
    <t xml:space="preserve">pages-paste/197-banking-best-bank-accounts-for-newcomers.html</t>
  </si>
  <si>
    <t xml:space="preserve">https://wealthscale.ca/banking/best-bank-accounts-for-kids/</t>
  </si>
  <si>
    <t xml:space="preserve">Best Bank Accounts for Kids and Teens in Canada</t>
  </si>
  <si>
    <t xml:space="preserve">Best Bank Account for Kids Canada 2026: 6 Youth Accounts</t>
  </si>
  <si>
    <t xml:space="preserve">Best bank account for kids Canada guide for 2026: 6 youth accounts at $0 a month compared on age limits, ATM fees, e-Transfers and how long the $0 lasts.</t>
  </si>
  <si>
    <t xml:space="preserve">best bank account for kids canada</t>
  </si>
  <si>
    <t xml:space="preserve">teen bank account canada, youth account</t>
  </si>
  <si>
    <t xml:space="preserve">table-filter, savings-goal, compound-interest</t>
  </si>
  <si>
    <t xml:space="preserve">pages-paste/200-banking-best-bank-accounts-for-kids.html</t>
  </si>
  <si>
    <t xml:space="preserve">https://wealthscale.ca/learn/how-to-file-taxes-online/</t>
  </si>
  <si>
    <t xml:space="preserve">/learn/</t>
  </si>
  <si>
    <t xml:space="preserve">How to File Your Taxes Online in Canada</t>
  </si>
  <si>
    <t xml:space="preserve">How to File Taxes Online Canada: NETFILE Step by Step</t>
  </si>
  <si>
    <t xml:space="preserve">This how to file taxes online Canada guide covers NETFILE step by step, free software from $0, the slips you need and the April 30, 2027 filing deadline.</t>
  </si>
  <si>
    <t xml:space="preserve">how to file taxes online canada</t>
  </si>
  <si>
    <t xml:space="preserve">netfile canada, file taxes for free canada, tax software canada</t>
  </si>
  <si>
    <t xml:space="preserve">learn-guide</t>
  </si>
  <si>
    <t xml:space="preserve">tax-software-picker, income-tax, rrsp-refund, countdown</t>
  </si>
  <si>
    <t xml:space="preserve">pages-paste/201-learn-how-to-file-taxes-online.html</t>
  </si>
  <si>
    <t xml:space="preserve">Date</t>
  </si>
  <si>
    <t xml:space="preserve">Work</t>
  </si>
  <si>
    <t xml:space="preserve">Pages planned</t>
  </si>
  <si>
    <t xml:space="preserve">Done or live</t>
  </si>
  <si>
    <t xml:space="preserve">Remaining</t>
  </si>
  <si>
    <t xml:space="preserve">Re-do 1</t>
  </si>
  <si>
    <t xml:space="preserve">Set-up check, three replacement pages and redirects, first 101 pages part 1</t>
  </si>
  <si>
    <t xml:space="preserve">Re-do 2</t>
  </si>
  <si>
    <t xml:space="preserve">First 101 pages part 2</t>
  </si>
  <si>
    <t xml:space="preserve">Check</t>
  </si>
  <si>
    <t xml:space="preserve">Check all 101 pages; no new pages</t>
  </si>
  <si>
    <t xml:space="preserve">New pages 102 to 201</t>
  </si>
  <si>
    <t xml:space="preserve">Total</t>
  </si>
  <si>
    <t xml:space="preserve">Do on</t>
  </si>
  <si>
    <t xml:space="preserve">Live now?</t>
  </si>
  <si>
    <t xml:space="preserve">Action</t>
  </si>
  <si>
    <t xml:space="preserve">https://wealthscale.ca/calculators/investment-fee-calculator/</t>
  </si>
  <si>
    <t xml:space="preserve">Publish as a new page first, then redirect /calculators/currency-conversion-calculator/ to it</t>
  </si>
  <si>
    <t xml:space="preserve">first-101-latest/pages-paste/027-calculators-investment-fee-calculator.html</t>
  </si>
  <si>
    <t xml:space="preserve">Investment Fee Calculator</t>
  </si>
  <si>
    <t xml:space="preserve">Investment Fee Calculator: Broker, Robo and MER Costs</t>
  </si>
  <si>
    <t xml:space="preserve">Investment fee calculator: yearly costs at 13 Canadian brokers, robo-advisor fees from $185 on $50,000, and what a 2% MER costs $100,000 over 30 years.</t>
  </si>
  <si>
    <t xml:space="preserve">investment fee calculator</t>
  </si>
  <si>
    <t xml:space="preserve">Done</t>
  </si>
  <si>
    <t xml:space="preserve">https://wealthscale.ca/compare/best-brokers-for-dividend-investing/</t>
  </si>
  <si>
    <t xml:space="preserve">Publish as a new page first, then redirect /compare/best-brokers-low-fx-fees/ to it</t>
  </si>
  <si>
    <t xml:space="preserve">first-101-latest/pages-paste/064-compare-best-brokers-for-dividend-investing.html</t>
  </si>
  <si>
    <t xml:space="preserve">Best Brokers for Dividend Investing in Canada</t>
  </si>
  <si>
    <t xml:space="preserve">Best Broker for Dividend Investing Canada 2026: DRIP Ranking</t>
  </si>
  <si>
    <t xml:space="preserve">Best broker for dividend investing Canada ranking for 2026: Questrade leads at 4.3 / 5 with a no-fee fractional DRIP. 7 DRIP brokers scored and compared.</t>
  </si>
  <si>
    <t xml:space="preserve">best broker for dividend investing canada</t>
  </si>
  <si>
    <t xml:space="preserve">https://wealthscale.ca/learn/cipf-vs-cdic/</t>
  </si>
  <si>
    <t xml:space="preserve">Publish as a new page first, then redirect /learn/norberts-gambit/ to it</t>
  </si>
  <si>
    <t xml:space="preserve">first-101-latest/pages-paste/097-learn-cipf-vs-cdic.html</t>
  </si>
  <si>
    <t xml:space="preserve">CIPF vs CDIC</t>
  </si>
  <si>
    <t xml:space="preserve">CIPF vs CDIC: Coverage Limits for Investments and Deposits</t>
  </si>
  <si>
    <t xml:space="preserve">CIPF vs CDIC explained: CDIC insures eligible deposits up to $100,000 per category, and CIPF covers up to $1,000,000 per account group if a dealer fails.</t>
  </si>
  <si>
    <t xml:space="preserve">cipf vs cdic</t>
  </si>
  <si>
    <t xml:space="preserve">https://wealthscale.ca/</t>
  </si>
  <si>
    <t xml:space="preserve">Replace the live page</t>
  </si>
  <si>
    <t xml:space="preserve">first-101-latest/pages-paste/001-home.html</t>
  </si>
  <si>
    <t xml:space="preserve">Home</t>
  </si>
  <si>
    <t xml:space="preserve">Best Investment Platform Canada: Compare Brokers and Rates</t>
  </si>
  <si>
    <t xml:space="preserve">Best investment platform Canada: compare 13 online brokers, robo-advisors, savings rates and GICs, with 2026 limits such as the $7,000 TFSA limit.</t>
  </si>
  <si>
    <t xml:space="preserve">best investment platform canada</t>
  </si>
  <si>
    <t xml:space="preserve">https://wealthscale.ca/about/</t>
  </si>
  <si>
    <t xml:space="preserve">first-101-latest/pages-paste/002-about.html</t>
  </si>
  <si>
    <t xml:space="preserve">About</t>
  </si>
  <si>
    <t xml:space="preserve">WealthScale: About Our CPA Writer and CFA Charterholder</t>
  </si>
  <si>
    <t xml:space="preserve">WealthScale compares Canadian investing, savings and bank accounts on real costs. Written by a CPA with 15+ years in tax, reviewed by a CFA charterholder.</t>
  </si>
  <si>
    <t xml:space="preserve">wealthscale</t>
  </si>
  <si>
    <t xml:space="preserve">https://wealthscale.ca/about/sharad-gondaliya/</t>
  </si>
  <si>
    <t xml:space="preserve">first-101-latest/pages-paste/003-about-sharad-gondaliya.html</t>
  </si>
  <si>
    <t xml:space="preserve">/about/</t>
  </si>
  <si>
    <t xml:space="preserve">Sharad Gondaliya, CPA</t>
  </si>
  <si>
    <t xml:space="preserve">Sharad Gondaliya, CPA: Writer and Tax Reviewer</t>
  </si>
  <si>
    <t xml:space="preserve">Sharad Gondaliya, CPA writes WealthScale's pages. CPA Ontario No. 61040184, Certified Public Accountant in Washington and Montana, 15+ years in tax.</t>
  </si>
  <si>
    <t xml:space="preserve">sharad gondaliya cpa</t>
  </si>
  <si>
    <t xml:space="preserve">https://wealthscale.ca/editorial-standards/</t>
  </si>
  <si>
    <t xml:space="preserve">first-101-latest/pages-paste/004-editorial-standards.html</t>
  </si>
  <si>
    <t xml:space="preserve">Editorial Standards</t>
  </si>
  <si>
    <t xml:space="preserve">WealthScale Editorial Standards: How We Write and Check</t>
  </si>
  <si>
    <t xml:space="preserve">WealthScale editorial standards: pages written by a CPA with 15+ years in tax, investing pages reviewed by a CFA charterholder, rates re-checked weekly.</t>
  </si>
  <si>
    <t xml:space="preserve">wealthscale editorial standards</t>
  </si>
  <si>
    <t xml:space="preserve">https://wealthscale.ca/how-we-make-money/</t>
  </si>
  <si>
    <t xml:space="preserve">first-101-latest/pages-paste/005-how-we-make-money.html</t>
  </si>
  <si>
    <t xml:space="preserve">How We Make Money</t>
  </si>
  <si>
    <t xml:space="preserve">WealthScale Advertiser Disclosure: How We Make Money</t>
  </si>
  <si>
    <t xml:space="preserve">WealthScale advertiser disclosure: the site has 0 partner links today. Payment will never change which providers we include, their score or their order.</t>
  </si>
  <si>
    <t xml:space="preserve">wealthscale advertiser disclosure</t>
  </si>
  <si>
    <t xml:space="preserve">https://wealthscale.ca/contact/</t>
  </si>
  <si>
    <t xml:space="preserve">first-101-latest/pages-paste/006-contact.html</t>
  </si>
  <si>
    <t xml:space="preserve">Contact</t>
  </si>
  <si>
    <t xml:space="preserve">Contact WealthScale: Email, Corrections and Media Enquiries</t>
  </si>
  <si>
    <t xml:space="preserve">Contact WealthScale at info@wealthscale.ca for questions, corrections and media, or privacy@wealthscale.ca. We aim to reply within 2 business days.</t>
  </si>
  <si>
    <t xml:space="preserve">contact wealthscale</t>
  </si>
  <si>
    <t xml:space="preserve">https://wealthscale.ca/methodology/brokers/</t>
  </si>
  <si>
    <t xml:space="preserve">first-101-latest/pages-paste/009-methodology-brokers.html</t>
  </si>
  <si>
    <t xml:space="preserve">/methodology/</t>
  </si>
  <si>
    <t xml:space="preserve">Broker Rating Methodology</t>
  </si>
  <si>
    <t xml:space="preserve">Broker Rating Methodology: How We Score Canadian Brokers</t>
  </si>
  <si>
    <t xml:space="preserve">Our broker rating methodology: six factors with cost weighted 35%, two priced investor profiles and every current score for brokers, robos and banks.</t>
  </si>
  <si>
    <t xml:space="preserve">broker rating methodology</t>
  </si>
  <si>
    <t xml:space="preserve">https://wealthscale.ca/accounts/</t>
  </si>
  <si>
    <t xml:space="preserve">first-101-latest/pages-paste/010-accounts.html</t>
  </si>
  <si>
    <t xml:space="preserve">Investment Accounts</t>
  </si>
  <si>
    <t xml:space="preserve">Types of Investment Accounts Canada: TFSA, RRSP and More</t>
  </si>
  <si>
    <t xml:space="preserve">Types of investment accounts Canada: TFSA, RRSP, FHSA, RESP, RRIF, LIRA and non-registered compared, with 2026 limits like the $7,000 TFSA limit.</t>
  </si>
  <si>
    <t xml:space="preserve">types of investment accounts canada</t>
  </si>
  <si>
    <t xml:space="preserve">https://wealthscale.ca/compare/</t>
  </si>
  <si>
    <t xml:space="preserve">first-101-latest/pages-paste/011-compare.html</t>
  </si>
  <si>
    <t xml:space="preserve">Compare Online Brokers</t>
  </si>
  <si>
    <t xml:space="preserve">Compare Online Brokers Canada: Fees, Accounts and Scores</t>
  </si>
  <si>
    <t xml:space="preserve">Compare online brokers Canada-wide: 13 brokers scored on cost, accounts and US investing. Questrade leads at 4.3 / 5, and seven charge $0 commissions.</t>
  </si>
  <si>
    <t xml:space="preserve">compare online brokers canada</t>
  </si>
  <si>
    <t xml:space="preserve">https://wealthscale.ca/reviews/</t>
  </si>
  <si>
    <t xml:space="preserve">first-101-latest/pages-paste/012-reviews.html</t>
  </si>
  <si>
    <t xml:space="preserve">Reviews</t>
  </si>
  <si>
    <t xml:space="preserve">Online Broker Reviews Canada: Scores, Verdicts and Costs</t>
  </si>
  <si>
    <t xml:space="preserve">Online broker reviews Canada: 27 reviews with scores and one-line verdicts, led by Questrade at 4.3 / 5. No provider pays for a review or a score.</t>
  </si>
  <si>
    <t xml:space="preserve">online broker reviews canada</t>
  </si>
  <si>
    <t xml:space="preserve">https://wealthscale.ca/vs/</t>
  </si>
  <si>
    <t xml:space="preserve">first-101-latest/pages-paste/013-vs.html</t>
  </si>
  <si>
    <t xml:space="preserve">Broker Comparison</t>
  </si>
  <si>
    <t xml:space="preserve">Broker Comparison Canada: Any Two Platforms Side by Side</t>
  </si>
  <si>
    <t xml:space="preserve">Broker comparison Canada: every WealthScale versus page with category winners, a 19-row matrix of six brokers and yearly costs at 13 brokers.</t>
  </si>
  <si>
    <t xml:space="preserve">broker comparison canada</t>
  </si>
  <si>
    <t xml:space="preserve">https://wealthscale.ca/savings/</t>
  </si>
  <si>
    <t xml:space="preserve">first-101-latest/pages-paste/014-savings.html</t>
  </si>
  <si>
    <t xml:space="preserve">Savings</t>
  </si>
  <si>
    <t xml:space="preserve">Best Place to Save Money Canada: Top Savings and GIC Rates</t>
  </si>
  <si>
    <t xml:space="preserve">The best place to save money Canada-wide on October 22, 2026: 2.85% everyday savings with no paid plan, 3.85% 1-year GICs, CDIC rules and USD options.</t>
  </si>
  <si>
    <t xml:space="preserve">best place to save money canada</t>
  </si>
  <si>
    <t xml:space="preserve">https://wealthscale.ca/banking/</t>
  </si>
  <si>
    <t xml:space="preserve">first-101-latest/pages-paste/015-banking.html</t>
  </si>
  <si>
    <t xml:space="preserve">Banking</t>
  </si>
  <si>
    <t xml:space="preserve">Best Bank Account Canada: Chequing, Savings and GICs</t>
  </si>
  <si>
    <t xml:space="preserve">Best bank account Canada guide: compare 20 chequing accounts, savings rates and GICs from online banks, fintechs and big banks. Top chequing score: 4.6 / 5.</t>
  </si>
  <si>
    <t xml:space="preserve">best bank account canada</t>
  </si>
  <si>
    <t xml:space="preserve">https://wealthscale.ca/calculators/</t>
  </si>
  <si>
    <t xml:space="preserve">first-101-latest/pages-paste/016-calculators.html</t>
  </si>
  <si>
    <t xml:space="preserve">Calculators</t>
  </si>
  <si>
    <t xml:space="preserve">Investment Calculators Canada: TFSA, RRSP and Tax Tools</t>
  </si>
  <si>
    <t xml:space="preserve">Investment calculators Canada: free TFSA, RRSP, FHSA, RESP, RRIF, income tax and compound interest tools using 2026 figures, like the $7,000 TFSA limit.</t>
  </si>
  <si>
    <t xml:space="preserve">investment calculators canada</t>
  </si>
  <si>
    <t xml:space="preserve">https://wealthscale.ca/benefits/</t>
  </si>
  <si>
    <t xml:space="preserve">first-101-latest/pages-paste/017-benefits.html</t>
  </si>
  <si>
    <t xml:space="preserve">CRA Benefit Payment Dates</t>
  </si>
  <si>
    <t xml:space="preserve">CRA Payment Dates 2026: CPP, OAS, CGEB, CCB and OTB Calendar</t>
  </si>
  <si>
    <t xml:space="preserve">CRA payment dates 2026 for CPP, OAS, the CGEB, CCB, OTB and more. Next up: CPP and OAS on October 28, 2026, OTB on November 10 and CCB on November 20.</t>
  </si>
  <si>
    <t xml:space="preserve">cra payment dates 2026</t>
  </si>
  <si>
    <t xml:space="preserve">https://wealthscale.ca/markets/</t>
  </si>
  <si>
    <t xml:space="preserve">first-101-latest/pages-paste/018-markets.html</t>
  </si>
  <si>
    <t xml:space="preserve">International Investing</t>
  </si>
  <si>
    <t xml:space="preserve">International Investing Canada: US and World Markets Guide</t>
  </si>
  <si>
    <t xml:space="preserve">International investing Canada guide: how to buy US and world stocks, USD accounts by broker, 15% US withholding by account type and brokers ranked.</t>
  </si>
  <si>
    <t xml:space="preserve">international investing canada</t>
  </si>
  <si>
    <t xml:space="preserve">https://wealthscale.ca/learn/</t>
  </si>
  <si>
    <t xml:space="preserve">first-101-latest/pages-paste/019-learn.html</t>
  </si>
  <si>
    <t xml:space="preserve">Learn to Invest</t>
  </si>
  <si>
    <t xml:space="preserve">Investing for Beginners Canada: 7 Steps to Get Started</t>
  </si>
  <si>
    <t xml:space="preserve">Investing for beginners Canada: seven steps from emergency fund to first investment, plus 30 key terms. The 2026 TFSA limit is $7,000; RRSP limit $33,810.</t>
  </si>
  <si>
    <t xml:space="preserve">investing for beginners canada</t>
  </si>
  <si>
    <t xml:space="preserve">https://wealthscale.ca/calculators/tfsa-calculator/</t>
  </si>
  <si>
    <t xml:space="preserve">first-101-latest/pages-paste/020-calculators-tfsa-calculator.html</t>
  </si>
  <si>
    <t xml:space="preserve">TFSA Calculator</t>
  </si>
  <si>
    <t xml:space="preserve">TFSA Contribution Room Calculator: How Much Room You Have</t>
  </si>
  <si>
    <t xml:space="preserve">Our TFSA contribution room calculator adds every limit since 2009, up to $109,000, using your birth year, arrival year, deposits and withdrawals.</t>
  </si>
  <si>
    <t xml:space="preserve">tfsa contribution room calculator</t>
  </si>
  <si>
    <t xml:space="preserve">https://wealthscale.ca/calculators/rrsp-calculator/</t>
  </si>
  <si>
    <t xml:space="preserve">first-101-latest/pages-paste/021-calculators-rrsp-calculator.html</t>
  </si>
  <si>
    <t xml:space="preserve">RRSP Calculator</t>
  </si>
  <si>
    <t xml:space="preserve">RRSP Calculator: Tax Refund and Savings by Province</t>
  </si>
  <si>
    <t xml:space="preserve">RRSP calculator for 2026: see the tax a contribution saves in your province. A $5,000 RRSP deduction saves $1,632.50 at $75,000 of income in Ontario.</t>
  </si>
  <si>
    <t xml:space="preserve">rrsp calculator</t>
  </si>
  <si>
    <t xml:space="preserve">https://wealthscale.ca/calculators/fhsa-calculator/</t>
  </si>
  <si>
    <t xml:space="preserve">first-101-latest/pages-paste/022-calculators-fhsa-calculator.html</t>
  </si>
  <si>
    <t xml:space="preserve">FHSA Calculator</t>
  </si>
  <si>
    <t xml:space="preserve">FHSA Calculator: Room, Carry-Forward and Tax Savings</t>
  </si>
  <si>
    <t xml:space="preserve">FHSA calculator: find your 2026 room, carry-forward and lifetime limit of $40,000, see what an $8,000 deduction saves in your province and plan a home buy.</t>
  </si>
  <si>
    <t xml:space="preserve">fhsa calculator</t>
  </si>
  <si>
    <t xml:space="preserve">https://wealthscale.ca/calculators/resp-calculator/</t>
  </si>
  <si>
    <t xml:space="preserve">first-101-latest/pages-paste/023-calculators-resp-calculator.html</t>
  </si>
  <si>
    <t xml:space="preserve">RESP Grant Calculator</t>
  </si>
  <si>
    <t xml:space="preserve">RESP Calculator: CESG, Learning Bond and Provincial Grants</t>
  </si>
  <si>
    <t xml:space="preserve">RESP calculator for 2026: estimate the 20% CESG, additional CESG, Canada Learning Bond and B.C. and Quebec grants, and see what it takes to collect $7,200.</t>
  </si>
  <si>
    <t xml:space="preserve">resp calculator</t>
  </si>
  <si>
    <t xml:space="preserve">https://wealthscale.ca/calculators/rrif-calculator/</t>
  </si>
  <si>
    <t xml:space="preserve">first-101-latest/pages-paste/024-calculators-rrif-calculator.html</t>
  </si>
  <si>
    <t xml:space="preserve">RRIF Minimum Withdrawal Calculator</t>
  </si>
  <si>
    <t xml:space="preserve">RRIF Calculator: Minimum Withdrawal by Age and Projection</t>
  </si>
  <si>
    <t xml:space="preserve">RRIF calculator for 2026: find your minimum withdrawal from the full factor table, from 4.00% at 65 to 20% at 95, plus withholding and a projection.</t>
  </si>
  <si>
    <t xml:space="preserve">rrif calculator</t>
  </si>
  <si>
    <t xml:space="preserve">https://wealthscale.ca/calculators/compound-interest-calculator/</t>
  </si>
  <si>
    <t xml:space="preserve">first-101-latest/pages-paste/025-calculators-compound-interest-calculator.html</t>
  </si>
  <si>
    <t xml:space="preserve">Compound Interest Calculator</t>
  </si>
  <si>
    <t xml:space="preserve">Compound Interest Calculator Canada With Monthly Savings</t>
  </si>
  <si>
    <t xml:space="preserve">Compound interest calculator Canada: see how $10,000 at 5% grows to $16,470.09 in 10 years compounded monthly, with monthly savings, fees and tax.</t>
  </si>
  <si>
    <t xml:space="preserve">compound interest calculator canada</t>
  </si>
  <si>
    <t xml:space="preserve">https://wealthscale.ca/calculators/capital-gains-tax-calculator/</t>
  </si>
  <si>
    <t xml:space="preserve">first-101-latest/pages-paste/026-calculators-capital-gains-tax-calculator.html</t>
  </si>
  <si>
    <t xml:space="preserve">Capital Gains Tax Calculator</t>
  </si>
  <si>
    <t xml:space="preserve">Capital Gains Tax Calculator Canada: Your Tax by Province</t>
  </si>
  <si>
    <t xml:space="preserve">Capital gains tax calculator Canada: half of a gain is taxable in 2026. See the tax on a $10,000 gain in each province, plus ACB, loss and reporting rules.</t>
  </si>
  <si>
    <t xml:space="preserve">capital gains tax calculator canada</t>
  </si>
  <si>
    <t xml:space="preserve">https://wealthscale.ca/accounts/tfsa/</t>
  </si>
  <si>
    <t xml:space="preserve">first-101-latest/pages-paste/028-accounts-tfsa.html</t>
  </si>
  <si>
    <t xml:space="preserve">TFSA Guide</t>
  </si>
  <si>
    <t xml:space="preserve">TFSA Guide: How a Tax-Free Savings Account Works in Canada</t>
  </si>
  <si>
    <t xml:space="preserve">A TFSA lets Canadian residents 18 and older grow money and withdraw it tax-free. The 2026 limit is $7,000 and total room since 2009 is $109,000.</t>
  </si>
  <si>
    <t xml:space="preserve">tfsa</t>
  </si>
  <si>
    <t xml:space="preserve">https://wealthscale.ca/accounts/tfsa-contribution-limit/</t>
  </si>
  <si>
    <t xml:space="preserve">first-101-latest/pages-paste/029-accounts-tfsa-contribution-limit.html</t>
  </si>
  <si>
    <t xml:space="preserve">TFSA Contribution Limit</t>
  </si>
  <si>
    <t xml:space="preserve">TFSA Limit 2026: Contribution Limit and Room by Year</t>
  </si>
  <si>
    <t xml:space="preserve">The TFSA limit 2026 is $7,000 and total room since 2009 is $109,000. See every annual limit, room by birth year and the status of the 2027 limit.</t>
  </si>
  <si>
    <t xml:space="preserve">tfsa limit 2026</t>
  </si>
  <si>
    <t xml:space="preserve">https://wealthscale.ca/accounts/tfsa-withdrawals/</t>
  </si>
  <si>
    <t xml:space="preserve">first-101-latest/pages-paste/030-accounts-tfsa-withdrawals.html</t>
  </si>
  <si>
    <t xml:space="preserve">TFSA Withdrawal Rules</t>
  </si>
  <si>
    <t xml:space="preserve">TFSA Withdrawal Rules: Tax, Timing and Re-Contributing</t>
  </si>
  <si>
    <t xml:space="preserve">TFSA withdrawal rules: withdrawals are tax-free and return as room on January 1. Put money back too early and any excess is taxed at 1% a month.</t>
  </si>
  <si>
    <t xml:space="preserve">tfsa withdrawal rules</t>
  </si>
  <si>
    <t xml:space="preserve">https://wealthscale.ca/accounts/us-stocks-in-tfsa/</t>
  </si>
  <si>
    <t xml:space="preserve">first-101-latest/pages-paste/031-accounts-us-stocks-in-tfsa.html</t>
  </si>
  <si>
    <t xml:space="preserve">US Stocks in a TFSA</t>
  </si>
  <si>
    <t xml:space="preserve">US Stocks in TFSA Accounts: Withholding Tax and Account Rules</t>
  </si>
  <si>
    <t xml:space="preserve">US stocks in TFSA accounts lose 15% of every US dividend to withholding tax, while a documented RRSP pays 0%. See the W-8BEN, USD account and broker rules.</t>
  </si>
  <si>
    <t xml:space="preserve">us stocks in tfsa</t>
  </si>
  <si>
    <t xml:space="preserve">https://wealthscale.ca/accounts/rrsp/</t>
  </si>
  <si>
    <t xml:space="preserve">first-101-latest/pages-paste/032-accounts-rrsp.html</t>
  </si>
  <si>
    <t xml:space="preserve">RRSP Guide</t>
  </si>
  <si>
    <t xml:space="preserve">RRSP Guide: Rules, Limits, Deadlines and Withdrawals</t>
  </si>
  <si>
    <t xml:space="preserve">An RRSP lets you deduct contributions up to 18% of last year's earned income, to a $33,810 maximum for 2026. Rules, deadline, withdrawals and the HBP.</t>
  </si>
  <si>
    <t xml:space="preserve">rrsp</t>
  </si>
  <si>
    <t xml:space="preserve">https://wealthscale.ca/accounts/rrsp-contribution-limit/</t>
  </si>
  <si>
    <t xml:space="preserve">first-101-latest/pages-paste/033-accounts-rrsp-contribution-limit.html</t>
  </si>
  <si>
    <t xml:space="preserve">RRSP Contribution Limit</t>
  </si>
  <si>
    <t xml:space="preserve">RRSP Contribution Limit 2026: $33,810 and How Room Works</t>
  </si>
  <si>
    <t xml:space="preserve">The RRSP contribution limit 2026 is the lesser of 18% of 2025 earned income and $33,810, minus pension adjustments, plus unused room. Find yours.</t>
  </si>
  <si>
    <t xml:space="preserve">rrsp contribution limit 2026</t>
  </si>
  <si>
    <t xml:space="preserve">https://wealthscale.ca/accounts/home-buyers-plan/</t>
  </si>
  <si>
    <t xml:space="preserve">first-101-latest/pages-paste/034-accounts-home-buyers-plan.html</t>
  </si>
  <si>
    <t xml:space="preserve">Home Buyers' Plan</t>
  </si>
  <si>
    <t xml:space="preserve">Home Buyers' Plan: $60,000 Limit, Rules and Repayment</t>
  </si>
  <si>
    <t xml:space="preserve">The Home Buyers' Plan lets each first-time buyer take up to $60,000 from an RRSP for a home and repay it over 15 years. Rules, dates and examples.</t>
  </si>
  <si>
    <t xml:space="preserve">home buyers plan</t>
  </si>
  <si>
    <t xml:space="preserve">https://wealthscale.ca/accounts/fhsa/</t>
  </si>
  <si>
    <t xml:space="preserve">first-101-latest/pages-paste/035-accounts-fhsa.html</t>
  </si>
  <si>
    <t xml:space="preserve">FHSA Guide</t>
  </si>
  <si>
    <t xml:space="preserve">FHSA Guide: First Home Savings Account Rules and Limits</t>
  </si>
  <si>
    <t xml:space="preserve">FHSA rules explained: contribute $8,000 a year up to a $40,000 lifetime limit, deduct it, and withdraw tax-free for a first home. Deadlines and examples.</t>
  </si>
  <si>
    <t xml:space="preserve">fhsa</t>
  </si>
  <si>
    <t xml:space="preserve">https://wealthscale.ca/accounts/fhsa-eligibility/</t>
  </si>
  <si>
    <t xml:space="preserve">first-101-latest/pages-paste/036-accounts-fhsa-eligibility.html</t>
  </si>
  <si>
    <t xml:space="preserve">FHSA Eligibility</t>
  </si>
  <si>
    <t xml:space="preserve">FHSA Eligibility: Who Counts as a First-Time Home Buyer</t>
  </si>
  <si>
    <t xml:space="preserve">FHSA eligibility: four tests decide who can open one. See the first-time home buyer rule, the spouse rule, age 18 to 71 limits and 16 scenarios checked.</t>
  </si>
  <si>
    <t xml:space="preserve">fhsa eligibility</t>
  </si>
  <si>
    <t xml:space="preserve">https://wealthscale.ca/accounts/resp/</t>
  </si>
  <si>
    <t xml:space="preserve">first-101-latest/pages-paste/037-accounts-resp.html</t>
  </si>
  <si>
    <t xml:space="preserve">RESP Guide</t>
  </si>
  <si>
    <t xml:space="preserve">RESP Guide: Grants, Limits, Withdrawals and Key Rules</t>
  </si>
  <si>
    <t xml:space="preserve">RESP guide for Canadian families: the $50,000 lifetime limit, up to $7,200 in CESG grants, EAP withdrawals and what happens if your child skips school.</t>
  </si>
  <si>
    <t xml:space="preserve">resp</t>
  </si>
  <si>
    <t xml:space="preserve">https://wealthscale.ca/accounts/resp-grants/</t>
  </si>
  <si>
    <t xml:space="preserve">first-101-latest/pages-paste/038-accounts-resp-grants.html</t>
  </si>
  <si>
    <t xml:space="preserve">RESP Grants</t>
  </si>
  <si>
    <t xml:space="preserve">RESP Grants: CESG, Additional CESG, CLB, BCTESG and QESI</t>
  </si>
  <si>
    <t xml:space="preserve">RESP grant rules for 2026: the 20% CESG worth up to $7,200 per child, the additional CESG, the Canada Learning Bond and the B.C. and Quebec grants.</t>
  </si>
  <si>
    <t xml:space="preserve">resp grant</t>
  </si>
  <si>
    <t xml:space="preserve">https://wealthscale.ca/accounts/rrif-minimum-withdrawal/</t>
  </si>
  <si>
    <t xml:space="preserve">first-101-latest/pages-paste/039-accounts-rrif-minimum-withdrawal.html</t>
  </si>
  <si>
    <t xml:space="preserve">RRIF Minimum Withdrawal Table</t>
  </si>
  <si>
    <t xml:space="preserve">RRIF Minimum Withdrawal Table: Factors, Rules and Tax</t>
  </si>
  <si>
    <t xml:space="preserve">RRIF minimum withdrawal table with every factor from age 55 to 95 and over, how the minimum is calculated, the younger-spouse election and withholding tax.</t>
  </si>
  <si>
    <t xml:space="preserve">rrif minimum withdrawal</t>
  </si>
  <si>
    <t xml:space="preserve">https://wealthscale.ca/reviews/wealthsimple/</t>
  </si>
  <si>
    <t xml:space="preserve">first-101-latest/pages-paste/040-reviews-wealthsimple.html</t>
  </si>
  <si>
    <t xml:space="preserve">/reviews/</t>
  </si>
  <si>
    <t xml:space="preserve">Wealthsimple Review</t>
  </si>
  <si>
    <t xml:space="preserve">Wealthsimple Review: Fees, Tiers, Accounts and Safety</t>
  </si>
  <si>
    <t xml:space="preserve">Wealthsimple review: $0 stock commissions, a $10 monthly USD account on Core, tiers at $100,000 and $500,000 and a 4.2 / 5 broker score. Every product rated.</t>
  </si>
  <si>
    <t xml:space="preserve">wealthsimple review</t>
  </si>
  <si>
    <t xml:space="preserve">https://wealthscale.ca/reviews/wealthsimple/trade/</t>
  </si>
  <si>
    <t xml:space="preserve">first-101-latest/pages-paste/041-reviews-wealthsimple-trade.html</t>
  </si>
  <si>
    <t xml:space="preserve">Wealthsimple Trade Review</t>
  </si>
  <si>
    <t xml:space="preserve">Wealthsimple Trade Review: Fees, Options, Margin and Safety</t>
  </si>
  <si>
    <t xml:space="preserve">Wealthsimple Trade review: $0 commissions on Canadian and US stocks, $0 options contracts, margin from 3.95% and $0 to transfer out. Broker score 4.2 / 5.</t>
  </si>
  <si>
    <t xml:space="preserve">wealthsimple trade review</t>
  </si>
  <si>
    <t xml:space="preserve">https://wealthscale.ca/reviews/wealthsimple/managed-investing/</t>
  </si>
  <si>
    <t xml:space="preserve">first-101-latest/pages-paste/042-reviews-wealthsimple-managed-investing.html</t>
  </si>
  <si>
    <t xml:space="preserve">Wealthsimple Managed Investing Review</t>
  </si>
  <si>
    <t xml:space="preserve">Wealthsimple Managed Investing Review: Fees and Portfolios</t>
  </si>
  <si>
    <t xml:space="preserve">Wealthsimple managed investing review: 0.5% a year on Core, 0.4% from $100,000, Classic fund costs up to 0.15% and tax-loss harvesting on Premium.</t>
  </si>
  <si>
    <t xml:space="preserve">wealthsimple managed investing review</t>
  </si>
  <si>
    <t xml:space="preserve">https://wealthscale.ca/reviews/wealthsimple/chequing/</t>
  </si>
  <si>
    <t xml:space="preserve">first-101-latest/pages-paste/043-reviews-wealthsimple-chequing.html</t>
  </si>
  <si>
    <t xml:space="preserve">Wealthsimple Chequing Review</t>
  </si>
  <si>
    <t xml:space="preserve">Wealthsimple Chequing Review: Rates by Tier, Fees, CDIC</t>
  </si>
  <si>
    <t xml:space="preserve">Wealthsimple chequing review: $0 monthly fee, 1.25% on Core and up to 2.25% by tier, ATM fees reimbursed worldwide, CDIC cover to $1,000,000. Score 4.4 / 5.</t>
  </si>
  <si>
    <t xml:space="preserve">wealthsimple chequing review</t>
  </si>
  <si>
    <t xml:space="preserve">https://wealthscale.ca/reviews/wealthsimple/visa-infinite-card/</t>
  </si>
  <si>
    <t xml:space="preserve">first-101-latest/pages-paste/044-reviews-wealthsimple-visa-infinite-card.html</t>
  </si>
  <si>
    <t xml:space="preserve">Wealthsimple Credit Card Review: Visa Infinite+</t>
  </si>
  <si>
    <t xml:space="preserve">Wealthsimple Credit Card Review: Cash Back, Fee and Perks</t>
  </si>
  <si>
    <t xml:space="preserve">Wealthsimple credit card review: 2% cash back on all net purchases and a $20 monthly fee unless waived, so you need $12,000 a year in spending to break even.</t>
  </si>
  <si>
    <t xml:space="preserve">wealthsimple credit card</t>
  </si>
  <si>
    <t xml:space="preserve">https://wealthscale.ca/reviews/wealthsimple/crypto/</t>
  </si>
  <si>
    <t xml:space="preserve">first-101-latest/pages-paste/045-reviews-wealthsimple-crypto.html</t>
  </si>
  <si>
    <t xml:space="preserve">Wealthsimple Crypto Review</t>
  </si>
  <si>
    <t xml:space="preserve">Wealthsimple Crypto Review: Fees, Staking and Safety</t>
  </si>
  <si>
    <t xml:space="preserve">Wealthsimple crypto review: a 0.5% fee plus spread on market orders, no fee or spread on recurring buys, 170+ coins, staking and a 4.6 / 5 crypto score.</t>
  </si>
  <si>
    <t xml:space="preserve">wealthsimple crypto review</t>
  </si>
  <si>
    <t xml:space="preserve">https://wealthscale.ca/reviews/wealthsimple/tax/</t>
  </si>
  <si>
    <t xml:space="preserve">first-101-latest/pages-paste/046-reviews-wealthsimple-tax.html</t>
  </si>
  <si>
    <t xml:space="preserve">Wealthsimple Tax Review</t>
  </si>
  <si>
    <t xml:space="preserve">Wealthsimple Tax Review: Pricing, Plans and NETFILE</t>
  </si>
  <si>
    <t xml:space="preserve">Wealthsimple tax review: Basic is pay what you want for 2 returns, Plus is $40 and Pro $80 plus tax, NETFILE-certified, with a 4.8 / 5 score.</t>
  </si>
  <si>
    <t xml:space="preserve">wealthsimple tax review</t>
  </si>
  <si>
    <t xml:space="preserve">https://wealthscale.ca/reviews/wealthsimple/fees/</t>
  </si>
  <si>
    <t xml:space="preserve">first-101-latest/pages-paste/047-reviews-wealthsimple-fees.html</t>
  </si>
  <si>
    <t xml:space="preserve">Wealthsimple Fees</t>
  </si>
  <si>
    <t xml:space="preserve">Wealthsimple Fees Explained: Account, Transfer and Premium</t>
  </si>
  <si>
    <t xml:space="preserve">Wealthsimple fees explained: $0 stock commissions, a $10 monthly USD account on Core, 0.5% managed fees and $0 to transfer out. Every fee by product and tier.</t>
  </si>
  <si>
    <t xml:space="preserve">wealthsimple fees</t>
  </si>
  <si>
    <t xml:space="preserve">https://wealthscale.ca/reviews/wealthsimple/is-wealthsimple-safe/</t>
  </si>
  <si>
    <t xml:space="preserve">first-101-latest/pages-paste/048-reviews-wealthsimple-is-wealthsimple-safe.html</t>
  </si>
  <si>
    <t xml:space="preserve">Is Wealthsimple Safe?</t>
  </si>
  <si>
    <t xml:space="preserve">Is Wealthsimple Safe? CIPF, CDIC and Crypto Protection</t>
  </si>
  <si>
    <t xml:space="preserve">Is Wealthsimple safe? Its dealer is a CIRO member covered by CIPF up to $1,000,000 per account group, and chequing gets up to $1,000,000 of CDIC cover.</t>
  </si>
  <si>
    <t xml:space="preserve">is wealthsimple safe</t>
  </si>
  <si>
    <t xml:space="preserve">https://wealthscale.ca/reviews/wealthsimple/membership-tiers/</t>
  </si>
  <si>
    <t xml:space="preserve">first-101-latest/pages-paste/049-reviews-wealthsimple-membership-tiers.html</t>
  </si>
  <si>
    <t xml:space="preserve">Wealthsimple Core vs Premium vs Generation</t>
  </si>
  <si>
    <t xml:space="preserve">Wealthsimple Premium vs Core vs Generation: Is It Worth It?</t>
  </si>
  <si>
    <t xml:space="preserve">Wealthsimple Premium starts at $100,000 and Generation at $500,000. See every benefit by tier, the household rules and when upgrading saves you money.</t>
  </si>
  <si>
    <t xml:space="preserve">wealthsimple premium</t>
  </si>
  <si>
    <t xml:space="preserve">https://wealthscale.ca/reviews/wealthsimple/usd-accounts/</t>
  </si>
  <si>
    <t xml:space="preserve">first-101-latest/pages-paste/050-reviews-wealthsimple-usd-accounts.html</t>
  </si>
  <si>
    <t xml:space="preserve">Wealthsimple USD Accounts Review</t>
  </si>
  <si>
    <t xml:space="preserve">Wealthsimple USD Account Review: Fees, TFSA and RRSP</t>
  </si>
  <si>
    <t xml:space="preserve">Wealthsimple USD account review: $10 plus tax a month on Core, included on Premium and Generation, with eligible accounts, USD savings and US withholding.</t>
  </si>
  <si>
    <t xml:space="preserve">wealthsimple usd account</t>
  </si>
  <si>
    <t xml:space="preserve">https://wealthscale.ca/reviews/wealthsimple/fhsa/</t>
  </si>
  <si>
    <t xml:space="preserve">first-101-latest/pages-paste/051-reviews-wealthsimple-fhsa.html</t>
  </si>
  <si>
    <t xml:space="preserve">Wealthsimple FHSA Review</t>
  </si>
  <si>
    <t xml:space="preserve">Wealthsimple FHSA Review: Fees, Managed vs Self-Directed</t>
  </si>
  <si>
    <t xml:space="preserve">Wealthsimple FHSA review: $0 stock and ETF commissions, managed portfolios from 0.5% a year on Core, and transfer fees covered on $25,000 or more.</t>
  </si>
  <si>
    <t xml:space="preserve">wealthsimple fhsa</t>
  </si>
  <si>
    <t xml:space="preserve">https://wealthscale.ca/reviews/wealthsimple/tfsa/</t>
  </si>
  <si>
    <t xml:space="preserve">first-101-latest/pages-paste/052-reviews-wealthsimple-tfsa.html</t>
  </si>
  <si>
    <t xml:space="preserve">Wealthsimple TFSA Review</t>
  </si>
  <si>
    <t xml:space="preserve">Wealthsimple TFSA Review: Fees, USD TFSA and Transfers</t>
  </si>
  <si>
    <t xml:space="preserve">Wealthsimple TFSA review: $0 stock and ETF commissions, managed from 0.5% a year, a USD option, and transfer fees covered on $25,000 or more in 2026.</t>
  </si>
  <si>
    <t xml:space="preserve">wealthsimple tfsa</t>
  </si>
  <si>
    <t xml:space="preserve">https://wealthscale.ca/compare/best-online-brokers/</t>
  </si>
  <si>
    <t xml:space="preserve">first-101-latest/pages-paste/053-compare-best-online-brokers.html</t>
  </si>
  <si>
    <t xml:space="preserve">Best Online Brokers in Canada</t>
  </si>
  <si>
    <t xml:space="preserve">Best Online Brokerage Canada 2026: 13 Brokers Ranked</t>
  </si>
  <si>
    <t xml:space="preserve">Best online brokerage Canada rankings for 2026: 13 brokers scored on cost, accounts, US investing and safety. Questrade leads at 4.3 / 5; seven charge $0.</t>
  </si>
  <si>
    <t xml:space="preserve">best online brokerage canada</t>
  </si>
  <si>
    <t xml:space="preserve">https://wealthscale.ca/compare/best-robo-advisors/</t>
  </si>
  <si>
    <t xml:space="preserve">first-101-latest/pages-paste/054-compare-best-robo-advisors.html</t>
  </si>
  <si>
    <t xml:space="preserve">Best Robo-Advisors in Canada</t>
  </si>
  <si>
    <t xml:space="preserve">Best Robo Advisor Canada 2026: 4 Ranked on Fees and Score</t>
  </si>
  <si>
    <t xml:space="preserve">Best robo advisor Canada 2026: four robo-advisors ranked by score and cost. Questwealth costs $185 a year on $50,000; Wealthsimple leads at 4.2 / 5.</t>
  </si>
  <si>
    <t xml:space="preserve">best robo advisor canada</t>
  </si>
  <si>
    <t xml:space="preserve">https://wealthscale.ca/compare/best-investing-apps/</t>
  </si>
  <si>
    <t xml:space="preserve">first-101-latest/pages-paste/055-compare-best-investing-apps.html</t>
  </si>
  <si>
    <t xml:space="preserve">Best Investing Apps in Canada</t>
  </si>
  <si>
    <t xml:space="preserve">Best Investing App Canada 2026: 10 Apps Ranked by Score</t>
  </si>
  <si>
    <t xml:space="preserve">Best investing app Canada 2026: 10 broker apps ranked on fees, accounts and safety. Wealthsimple leads at 4.7 / 5 with $0 trades and fractional shares.</t>
  </si>
  <si>
    <t xml:space="preserve">best investing app canada</t>
  </si>
  <si>
    <t xml:space="preserve">https://wealthscale.ca/compare/best-tfsa-accounts/</t>
  </si>
  <si>
    <t xml:space="preserve">first-101-latest/pages-paste/056-compare-best-tfsa-accounts.html</t>
  </si>
  <si>
    <t xml:space="preserve">Best TFSA Accounts in Canada</t>
  </si>
  <si>
    <t xml:space="preserve">Best TFSA Account Canada 2026: 13 Brokers and Robos Ranked</t>
  </si>
  <si>
    <t xml:space="preserve">Best TFSA account Canada rankings for 2026: 13 brokers, 4 robo-advisors and TFSA savings rates. Questrade leads at 4.3 / 5. Limit: $7,000.</t>
  </si>
  <si>
    <t xml:space="preserve">best tfsa account canada</t>
  </si>
  <si>
    <t xml:space="preserve">https://wealthscale.ca/compare/best-rrsp-accounts/</t>
  </si>
  <si>
    <t xml:space="preserve">first-101-latest/pages-paste/057-compare-best-rrsp-accounts.html</t>
  </si>
  <si>
    <t xml:space="preserve">Best RRSP Accounts in Canada</t>
  </si>
  <si>
    <t xml:space="preserve">Best RRSP Account Canada 2026: 13 Brokers and Robos Ranked</t>
  </si>
  <si>
    <t xml:space="preserve">Best RRSP account Canada rankings for 2026: 13 brokers, 4 robos, spousal RRSP and RRIF support. Questrade leads at 4.3 / 5. Limit: $33,810.</t>
  </si>
  <si>
    <t xml:space="preserve">best rrsp account canada</t>
  </si>
  <si>
    <t xml:space="preserve">https://wealthscale.ca/compare/best-fhsa-accounts/</t>
  </si>
  <si>
    <t xml:space="preserve">first-101-latest/pages-paste/058-compare-best-fhsa-accounts.html</t>
  </si>
  <si>
    <t xml:space="preserve">Best FHSA Accounts in Canada</t>
  </si>
  <si>
    <t xml:space="preserve">Best FHSA Account Canada 2026: 11 Brokers and Robos Ranked</t>
  </si>
  <si>
    <t xml:space="preserve">Best FHSA account Canada rankings for 2026: 11 brokers, 2 robos and FHSA savings rates. Questrade leads at 4.3 / 5. Room: $8,000 a year.</t>
  </si>
  <si>
    <t xml:space="preserve">best fhsa account canada</t>
  </si>
  <si>
    <t xml:space="preserve">https://wealthscale.ca/compare/best-resp-providers/</t>
  </si>
  <si>
    <t xml:space="preserve">first-101-latest/pages-paste/059-compare-best-resp-providers.html</t>
  </si>
  <si>
    <t xml:space="preserve">Best RESP Providers in Canada</t>
  </si>
  <si>
    <t xml:space="preserve">Best RESP Providers Canada 2026: Brokers and Robos Ranked</t>
  </si>
  <si>
    <t xml:space="preserve">Best RESP providers Canada 2026: 9 online brokers and 3 robo-advisors ranked on fees and family plans. Questrade and Desjardins lead at 4.3 / 5.</t>
  </si>
  <si>
    <t xml:space="preserve">best resp providers canada</t>
  </si>
  <si>
    <t xml:space="preserve">https://wealthscale.ca/compare/best-brokers-for-us-stocks/</t>
  </si>
  <si>
    <t xml:space="preserve">first-101-latest/pages-paste/060-compare-best-brokers-for-us-stocks.html</t>
  </si>
  <si>
    <t xml:space="preserve">Best Brokers for US Stocks in Canada</t>
  </si>
  <si>
    <t xml:space="preserve">Best Broker for US Stocks Canada 2026: 13 Brokers Ranked</t>
  </si>
  <si>
    <t xml:space="preserve">Best broker for US stocks Canada 2026: Desjardins and Questrade tie at 4.6 / 5. Compare US commissions, USD registered accounts and US withholding tax.</t>
  </si>
  <si>
    <t xml:space="preserve">best broker for us stocks canada</t>
  </si>
  <si>
    <t xml:space="preserve">https://wealthscale.ca/compare/best-commission-free-brokers/</t>
  </si>
  <si>
    <t xml:space="preserve">first-101-latest/pages-paste/061-compare-best-commission-free-brokers.html</t>
  </si>
  <si>
    <t xml:space="preserve">Best Commission-Free Trading Platforms in Canada</t>
  </si>
  <si>
    <t xml:space="preserve">Commission Free Trading Canada 2026: 7 Brokers Ranked</t>
  </si>
  <si>
    <t xml:space="preserve">Commission free trading Canada guide for 2026: 7 brokers charge $0 on stocks and ETFs. Questrade leads at 4.3 / 5. Every fee left, from options to transfers.</t>
  </si>
  <si>
    <t xml:space="preserve">commission free trading canada</t>
  </si>
  <si>
    <t xml:space="preserve">https://wealthscale.ca/compare/best-crypto-platforms/</t>
  </si>
  <si>
    <t xml:space="preserve">first-101-latest/pages-paste/062-compare-best-crypto-platforms.html</t>
  </si>
  <si>
    <t xml:space="preserve">Best Crypto Exchanges and Platforms in Canada</t>
  </si>
  <si>
    <t xml:space="preserve">Best Crypto Exchange Canada 2026: 9 CSA-Authorized Ranked</t>
  </si>
  <si>
    <t xml:space="preserve">Best crypto exchange Canada 2026: nine CSA-authorized platforms ranked on fees, coins and safety. NDAX charges 0.20%; Wealthsimple leads at 4.6 / 5.</t>
  </si>
  <si>
    <t xml:space="preserve">best crypto exchange canada</t>
  </si>
  <si>
    <t xml:space="preserve">https://wealthscale.ca/compare/best-brokers-for-beginners/</t>
  </si>
  <si>
    <t xml:space="preserve">first-101-latest/pages-paste/063-compare-best-brokers-for-beginners.html</t>
  </si>
  <si>
    <t xml:space="preserve">Best Online Brokers for Beginners in Canada</t>
  </si>
  <si>
    <t xml:space="preserve">Best Brokerage for Beginners Canada 2026: 13 Brokers Ranked</t>
  </si>
  <si>
    <t xml:space="preserve">Best brokerage for beginners Canada ranking for 2026: Wealthsimple leads at 4.7 / 5 with no minimum and fractional shares from $1. 13 brokers scored.</t>
  </si>
  <si>
    <t xml:space="preserve">best brokerage for beginners canada</t>
  </si>
  <si>
    <t xml:space="preserve">https://wealthscale.ca/compare/best-options-trading-platforms/</t>
  </si>
  <si>
    <t xml:space="preserve">first-101-latest/pages-paste/065-compare-best-options-trading-platforms.html</t>
  </si>
  <si>
    <t xml:space="preserve">Best Options Trading Platforms in Canada</t>
  </si>
  <si>
    <t xml:space="preserve">Best Options Trading Platform Canada 2026: 13 Ranked</t>
  </si>
  <si>
    <t xml:space="preserve">Best options trading platform Canada 2026: 13 brokers ranked. Interactive Brokers leads at 4.6 / 5; Wealthsimple charges $0 a contract on equity options.</t>
  </si>
  <si>
    <t xml:space="preserve">best options trading platform canada</t>
  </si>
  <si>
    <t xml:space="preserve">https://wealthscale.ca/compare/best-margin-accounts/</t>
  </si>
  <si>
    <t xml:space="preserve">first-101-latest/pages-paste/066-compare-best-margin-accounts.html</t>
  </si>
  <si>
    <t xml:space="preserve">Lowest Margin Rates in Canada</t>
  </si>
  <si>
    <t xml:space="preserve">Margin Rates Canada 2026: 13 Brokers Sorted Lowest First</t>
  </si>
  <si>
    <t xml:space="preserve">Margin rates Canada 2026: 13 brokers sorted by CAD rate. Interactive Brokers is lowest at 3.675%, so $10,000 borrowed for a year costs $367.50 in interest.</t>
  </si>
  <si>
    <t xml:space="preserve">margin rates canada</t>
  </si>
  <si>
    <t xml:space="preserve">https://wealthscale.ca/compare/best-tax-software/</t>
  </si>
  <si>
    <t xml:space="preserve">first-101-latest/pages-paste/067-compare-best-tax-software.html</t>
  </si>
  <si>
    <t xml:space="preserve">Best Tax Software in Canada</t>
  </si>
  <si>
    <t xml:space="preserve">Best Tax Software Canada 2026: 7 NETFILE Products Ranked</t>
  </si>
  <si>
    <t xml:space="preserve">Best tax software Canada 2026: 7 NETFILE-certified products ranked. Wealthsimple Tax leads at 4.8 / 5, with a Basic tier from $0 for up to 2 returns.</t>
  </si>
  <si>
    <t xml:space="preserve">best tax software canada</t>
  </si>
  <si>
    <t xml:space="preserve">https://wealthscale.ca/compare/best-tfsa-for-us-stocks/</t>
  </si>
  <si>
    <t xml:space="preserve">first-101-latest/pages-paste/068-compare-best-tfsa-for-us-stocks.html</t>
  </si>
  <si>
    <t xml:space="preserve">Best TFSA Accounts for US Stocks</t>
  </si>
  <si>
    <t xml:space="preserve">Best TFSA Account for US Stocks: 13 Brokers and USD Fees</t>
  </si>
  <si>
    <t xml:space="preserve">Best TFSA account for US stocks, ranked: Desjardins and Questrade tie at 4.6 / 5 with no-fee USD TFSAs and $0 US trades. US dividends still lose 15%.</t>
  </si>
  <si>
    <t xml:space="preserve">best tfsa account for us stocks</t>
  </si>
  <si>
    <t xml:space="preserve">https://wealthscale.ca/compare/best-rrsp-for-us-stocks/</t>
  </si>
  <si>
    <t xml:space="preserve">first-101-latest/pages-paste/069-compare-best-rrsp-for-us-stocks.html</t>
  </si>
  <si>
    <t xml:space="preserve">Best RRSP Accounts for US Stocks</t>
  </si>
  <si>
    <t xml:space="preserve">Best RRSP for US Stocks: 13 Brokers Ranked for USD and Tax</t>
  </si>
  <si>
    <t xml:space="preserve">Best RRSP for US stocks, ranked: Desjardins and Questrade tie at 4.6 / 5 with no-fee USD RRSPs. US-listed holdings in an RRSP avoid the 15% US dividend tax.</t>
  </si>
  <si>
    <t xml:space="preserve">best rrsp for us stocks</t>
  </si>
  <si>
    <t xml:space="preserve">https://wealthscale.ca/compare/best-self-directed-resp/</t>
  </si>
  <si>
    <t xml:space="preserve">first-101-latest/pages-paste/070-compare-best-self-directed-resp.html</t>
  </si>
  <si>
    <t xml:space="preserve">Best Self-Directed RESP Accounts</t>
  </si>
  <si>
    <t xml:space="preserve">Best Self Directed RESP Account in Canada: 9 Brokers Ranked</t>
  </si>
  <si>
    <t xml:space="preserve">Best self directed RESP account rankings: 9 brokers scored on fees, family plans and grants. Questrade leads at 4.3 / 5; five charge no RESP account fee.</t>
  </si>
  <si>
    <t xml:space="preserve">best self directed resp account</t>
  </si>
  <si>
    <t xml:space="preserve">https://wealthscale.ca/compare/best-rrif-accounts/</t>
  </si>
  <si>
    <t xml:space="preserve">first-101-latest/pages-paste/071-compare-best-rrif-accounts.html</t>
  </si>
  <si>
    <t xml:space="preserve">Best RRIF Accounts in Canada</t>
  </si>
  <si>
    <t xml:space="preserve">Best RRIF Account in Canada: 10 Brokers Ranked by Score</t>
  </si>
  <si>
    <t xml:space="preserve">Best RRIF account rankings for Canada: 10 brokers scored on fees, USD and withdrawals. Questrade leads at 4.3 / 5; the age 72 minimum is 5.40%.</t>
  </si>
  <si>
    <t xml:space="preserve">best rrif account</t>
  </si>
  <si>
    <t xml:space="preserve">https://wealthscale.ca/compare/best-lira-accounts/</t>
  </si>
  <si>
    <t xml:space="preserve">first-101-latest/pages-paste/072-compare-best-lira-accounts.html</t>
  </si>
  <si>
    <t xml:space="preserve">Best LIRA Accounts in Canada</t>
  </si>
  <si>
    <t xml:space="preserve">Best LIRA Account in Canada: 9 Brokers for LIRAs and LIFs</t>
  </si>
  <si>
    <t xml:space="preserve">Best LIRA account rankings: 9 brokers that hold LIRAs and LIFs, scored on fees and features. Questrade leads at 4.3 / 5; watch $100 small-balance fees.</t>
  </si>
  <si>
    <t xml:space="preserve">best lira account</t>
  </si>
  <si>
    <t xml:space="preserve">https://wealthscale.ca/banking/best-chequing-accounts/</t>
  </si>
  <si>
    <t xml:space="preserve">Publish as a new page</t>
  </si>
  <si>
    <t xml:space="preserve">first-101-latest/pages-paste/073-banking-best-chequing-accounts.html</t>
  </si>
  <si>
    <t xml:space="preserve">Best Chequing Accounts in Canada</t>
  </si>
  <si>
    <t xml:space="preserve">Best Chequing Account Canada 2026: 20 Accounts Ranked</t>
  </si>
  <si>
    <t xml:space="preserve">Best chequing account Canada rankings for 2026: 20 accounts scored on fees, interest, ATMs and CDIC. EQ Bank leads at 4.6 / 5 with 2.75% on direct deposit.</t>
  </si>
  <si>
    <t xml:space="preserve">best chequing account canada</t>
  </si>
  <si>
    <t xml:space="preserve">https://wealthscale.ca/banking/best-no-fee-chequing-accounts/</t>
  </si>
  <si>
    <t xml:space="preserve">first-101-latest/pages-paste/074-banking-best-no-fee-chequing-accounts.html</t>
  </si>
  <si>
    <t xml:space="preserve">Best No-Fee Chequing Accounts in Canada</t>
  </si>
  <si>
    <t xml:space="preserve">No Fee Chequing Account Canada 2026: The 8 Best Ranked</t>
  </si>
  <si>
    <t xml:space="preserve">No fee chequing account rankings for 2026: 8 accounts with a $0 monthly fee, scored. EQ Bank leads at 4.6 / 5 and pays 2.75% with pay direct deposit.</t>
  </si>
  <si>
    <t xml:space="preserve">no fee chequing account</t>
  </si>
  <si>
    <t xml:space="preserve">https://wealthscale.ca/savings/high-interest-savings-accounts/</t>
  </si>
  <si>
    <t xml:space="preserve">first-101-latest/pages-paste/075-savings-high-interest-savings-accounts.html</t>
  </si>
  <si>
    <t xml:space="preserve">/savings/</t>
  </si>
  <si>
    <t xml:space="preserve">Best High-Interest Savings Accounts</t>
  </si>
  <si>
    <t xml:space="preserve">Best High Interest Savings Account Canada: 2026 Rates</t>
  </si>
  <si>
    <t xml:space="preserve">Compare the best high interest savings account Canada offers in 2026: Saven pays 2.85% with no fee, Oaken 2.80% with CDIC cover. Rates checked Oct 22.</t>
  </si>
  <si>
    <t xml:space="preserve">best high interest savings account canada</t>
  </si>
  <si>
    <t xml:space="preserve">https://wealthscale.ca/savings/usd-savings-accounts/</t>
  </si>
  <si>
    <t xml:space="preserve">first-101-latest/pages-paste/076-savings-usd-savings-accounts.html</t>
  </si>
  <si>
    <t xml:space="preserve">Best USD Savings Accounts</t>
  </si>
  <si>
    <t xml:space="preserve">USD Savings Account Canada: Best US Dollar Savings Rates</t>
  </si>
  <si>
    <t xml:space="preserve">Compare every USD savings account Canada banks publish: EQ Bank pays 2.50%, big banks 0.250% or less, plus fees, CDIC rules and tax. Checked October 22.</t>
  </si>
  <si>
    <t xml:space="preserve">usd savings account canada</t>
  </si>
  <si>
    <t xml:space="preserve">https://wealthscale.ca/savings/gic-rates/</t>
  </si>
  <si>
    <t xml:space="preserve">first-101-latest/pages-paste/077-savings-gic-rates.html</t>
  </si>
  <si>
    <t xml:space="preserve">Best GIC Rates</t>
  </si>
  <si>
    <t xml:space="preserve">Best GIC Rates Canada 2026: 1 to 5 Year Rates by Term</t>
  </si>
  <si>
    <t xml:space="preserve">Compare the best GIC rates Canada offers by term: 3.85% for 1 year and 4.50% for 5 years, plus big bank rates and CDIC limits. Checked October 22, 2026.</t>
  </si>
  <si>
    <t xml:space="preserve">best gic rates canada</t>
  </si>
  <si>
    <t xml:space="preserve">https://wealthscale.ca/reviews/questrade/</t>
  </si>
  <si>
    <t xml:space="preserve">first-101-latest/pages-paste/078-reviews-questrade.html</t>
  </si>
  <si>
    <t xml:space="preserve">Questrade Review</t>
  </si>
  <si>
    <t xml:space="preserve">Questrade Review 2026: Fees, Questwealth, Accounts and Score</t>
  </si>
  <si>
    <t xml:space="preserve">Questrade review 2026: $0 stock and ETF commissions, US dollars in registered accounts at no extra cost, all 10 account types we count and a score of 4.3 / 5.</t>
  </si>
  <si>
    <t xml:space="preserve">questrade review</t>
  </si>
  <si>
    <t xml:space="preserve">https://wealthscale.ca/reviews/interactive-brokers/</t>
  </si>
  <si>
    <t xml:space="preserve">first-101-latest/pages-paste/079-reviews-interactive-brokers.html</t>
  </si>
  <si>
    <t xml:space="preserve">Interactive Brokers Canada Review</t>
  </si>
  <si>
    <t xml:space="preserve">Interactive Brokers Canada Review 2026: IBKR Fees and Score</t>
  </si>
  <si>
    <t xml:space="preserve">Interactive Brokers Canada review 2026: commissions from CAD 1 a trade, 1.675% on CAD cash above CAD 13,000, 3.675% margin and a 4.2 / 5 score.</t>
  </si>
  <si>
    <t xml:space="preserve">interactive brokers canada review</t>
  </si>
  <si>
    <t xml:space="preserve">https://wealthscale.ca/reviews/moomoo/</t>
  </si>
  <si>
    <t xml:space="preserve">first-101-latest/pages-paste/080-reviews-moomoo.html</t>
  </si>
  <si>
    <t xml:space="preserve">moomoo Canada Review</t>
  </si>
  <si>
    <t xml:space="preserve">moomoo Canada Review 2026: Fees, TFSA, Margin and Score</t>
  </si>
  <si>
    <t xml:space="preserve">moomoo Canada review 2026: per-share pricing from CA$1.49 an order, TFSA and RRSP accounts that hold US dollars, margin from 3.85% and a 3.7 / 5 score.</t>
  </si>
  <si>
    <t xml:space="preserve">moomoo canada review</t>
  </si>
  <si>
    <t xml:space="preserve">https://wealthscale.ca/reviews/webull/</t>
  </si>
  <si>
    <t xml:space="preserve">first-101-latest/pages-paste/081-reviews-webull.html</t>
  </si>
  <si>
    <t xml:space="preserve">Webull Canada Review</t>
  </si>
  <si>
    <t xml:space="preserve">Webull Canada Review 2026: Fees, TFSA, Accounts and Our Score</t>
  </si>
  <si>
    <t xml:space="preserve">Webull Canada review 2026: $0 stock and ETF commissions, a $0.70 monthly account fee, US$0.99 options, TFSA and RRSP only, and a score of 3.2 / 5.</t>
  </si>
  <si>
    <t xml:space="preserve">webull canada review</t>
  </si>
  <si>
    <t xml:space="preserve">https://wealthscale.ca/reviews/qtrade/</t>
  </si>
  <si>
    <t xml:space="preserve">first-101-latest/pages-paste/082-reviews-qtrade.html</t>
  </si>
  <si>
    <t xml:space="preserve">Qtrade Direct Investing Review</t>
  </si>
  <si>
    <t xml:space="preserve">Qtrade Review 2026: $0 Trades, Fees, USD Accounts and Score</t>
  </si>
  <si>
    <t xml:space="preserve">Qtrade review 2026: $0 online stock and ETF trades, $0.75 options contracts and no quarterly admin fee. Overall score 4.0 / 5, with costs and rivals.</t>
  </si>
  <si>
    <t xml:space="preserve">qtrade review</t>
  </si>
  <si>
    <t xml:space="preserve">https://wealthscale.ca/reviews/td-direct-investing/</t>
  </si>
  <si>
    <t xml:space="preserve">first-101-latest/pages-paste/083-reviews-td-direct-investing.html</t>
  </si>
  <si>
    <t xml:space="preserve">TD Direct Investing Review</t>
  </si>
  <si>
    <t xml:space="preserve">TD Direct Investing Review 2026: Fees, Easy Trade, Score</t>
  </si>
  <si>
    <t xml:space="preserve">TD Direct Investing review 2026: $9.99 trades, TD Easy Trade with 100 $0 trades a year, five trading platforms and a 2.4 / 5 score, with costs and rivals.</t>
  </si>
  <si>
    <t xml:space="preserve">td direct investing review</t>
  </si>
  <si>
    <t xml:space="preserve">https://wealthscale.ca/reviews/rbc-direct-investing/</t>
  </si>
  <si>
    <t xml:space="preserve">first-101-latest/pages-paste/084-reviews-rbc-direct-investing.html</t>
  </si>
  <si>
    <t xml:space="preserve">RBC Direct Investing Review</t>
  </si>
  <si>
    <t xml:space="preserve">RBC Direct Investing Review 2026: Fees, GoSmart, InvestEase</t>
  </si>
  <si>
    <t xml:space="preserve">RBC Direct Investing review 2026: $9.95 trades, 50 $0 GoSmart trades a year, no maintenance fee and a 2.7 / 5 score, plus RBC InvestEase at 0.50%.</t>
  </si>
  <si>
    <t xml:space="preserve">rbc direct investing review</t>
  </si>
  <si>
    <t xml:space="preserve">https://wealthscale.ca/reviews/eq-bank/</t>
  </si>
  <si>
    <t xml:space="preserve">first-101-latest/pages-paste/085-reviews-eq-bank.html</t>
  </si>
  <si>
    <t xml:space="preserve">EQ Bank Review</t>
  </si>
  <si>
    <t xml:space="preserve">EQ Bank Review 2026: Rates, Fees, USD Account and GICs</t>
  </si>
  <si>
    <t xml:space="preserve">EQ Bank review 2026: the Personal Account pays 1.00%, or 2.75% with pay direct deposit, with no monthly fee and CDIC cover. Banking score 4.6 / 5.</t>
  </si>
  <si>
    <t xml:space="preserve">eq bank review</t>
  </si>
  <si>
    <t xml:space="preserve">https://wealthscale.ca/vs/wealthsimple-vs-questrade/</t>
  </si>
  <si>
    <t xml:space="preserve">first-101-latest/pages-paste/086-vs-wealthsimple-vs-questrade.html</t>
  </si>
  <si>
    <t xml:space="preserve">Wealthsimple vs Questrade</t>
  </si>
  <si>
    <t xml:space="preserve">Wealthsimple vs Questrade: Fees, USD Accounts and Margin</t>
  </si>
  <si>
    <t xml:space="preserve">Wealthsimple vs Questrade: both charge $0 on stock trades; Questrade scores 4.3 / 5 and Wealthsimple 4.2 / 5. Compare USD accounts, margin and transfer fees.</t>
  </si>
  <si>
    <t xml:space="preserve">wealthsimple vs questrade</t>
  </si>
  <si>
    <t xml:space="preserve">https://wealthscale.ca/vs/wealthsimple-vs-interactive-brokers/</t>
  </si>
  <si>
    <t xml:space="preserve">first-101-latest/pages-paste/087-vs-wealthsimple-vs-interactive-brokers.html</t>
  </si>
  <si>
    <t xml:space="preserve">Wealthsimple vs Interactive Brokers</t>
  </si>
  <si>
    <t xml:space="preserve">Wealthsimple vs Interactive Brokers: Fees and Margin</t>
  </si>
  <si>
    <t xml:space="preserve">Wealthsimple vs Interactive Brokers: $0 trades vs per-share pricing, and margin at 4.95% vs 3.675%. Both score 4.2 / 5, with IBKR ahead before rounding.</t>
  </si>
  <si>
    <t xml:space="preserve">wealthsimple vs interactive brokers</t>
  </si>
  <si>
    <t xml:space="preserve">https://wealthscale.ca/vs/wealthsimple-vs-moomoo/</t>
  </si>
  <si>
    <t xml:space="preserve">first-101-latest/pages-paste/088-vs-wealthsimple-vs-moomoo.html</t>
  </si>
  <si>
    <t xml:space="preserve">Wealthsimple vs moomoo</t>
  </si>
  <si>
    <t xml:space="preserve">Wealthsimple vs moomoo: Accounts, Fractional Shares, Fees</t>
  </si>
  <si>
    <t xml:space="preserve">Wealthsimple vs moomoo: Wealthsimple has FHSA, RESP, fractional shares and DRIP with $0 trades; moomoo charges from CA$1.49 a trade. Scores 4.2 vs 3.7 / 5.</t>
  </si>
  <si>
    <t xml:space="preserve">wealthsimple vs moomoo</t>
  </si>
  <si>
    <t xml:space="preserve">https://wealthscale.ca/vs/wealthsimple-vs-eq-bank/</t>
  </si>
  <si>
    <t xml:space="preserve">first-101-latest/pages-paste/089-vs-wealthsimple-vs-eq-bank.html</t>
  </si>
  <si>
    <t xml:space="preserve">Wealthsimple vs EQ Bank</t>
  </si>
  <si>
    <t xml:space="preserve">Wealthsimple vs EQ Bank: Chequing, Savings and CDIC Compared</t>
  </si>
  <si>
    <t xml:space="preserve">Wealthsimple vs EQ Bank: EQ pays 2.75% with a pay deposit and scores 4.6 / 5; Wealthsimple pays more without one and scores 4.4 / 5. Fees, cards, CDIC.</t>
  </si>
  <si>
    <t xml:space="preserve">wealthsimple vs eq bank</t>
  </si>
  <si>
    <t xml:space="preserve">https://wealthscale.ca/vs/questrade-vs-interactive-brokers/</t>
  </si>
  <si>
    <t xml:space="preserve">first-101-latest/pages-paste/090-vs-questrade-vs-interactive-brokers.html</t>
  </si>
  <si>
    <t xml:space="preserve">Questrade vs Interactive Brokers</t>
  </si>
  <si>
    <t xml:space="preserve">Questrade vs Interactive Brokers: Fees, Accounts and Margin</t>
  </si>
  <si>
    <t xml:space="preserve">Questrade vs Interactive Brokers: $0 trades and no-fee US dollars in a TFSA or RRSP, or per-share pricing and 3.675% margin. Scores 4.3 vs 4.2 / 5.</t>
  </si>
  <si>
    <t xml:space="preserve">questrade vs interactive brokers</t>
  </si>
  <si>
    <t xml:space="preserve">https://wealthscale.ca/vs/tfsa-vs-rrsp/</t>
  </si>
  <si>
    <t xml:space="preserve">first-101-latest/pages-paste/091-vs-tfsa-vs-rrsp.html</t>
  </si>
  <si>
    <t xml:space="preserve">TFSA vs RRSP</t>
  </si>
  <si>
    <t xml:space="preserve">TFSA vs RRSP: Which Should You Use First? Tax Examples</t>
  </si>
  <si>
    <t xml:space="preserve">TFSA vs RRSP compared on 20 points with tax worked out at four incomes: a $7,000 RRSP deduction saves $2,075.50 at $80,000 of income in Ontario.</t>
  </si>
  <si>
    <t xml:space="preserve">tfsa vs rrsp</t>
  </si>
  <si>
    <t xml:space="preserve">https://wealthscale.ca/vs/fhsa-vs-rrsp/</t>
  </si>
  <si>
    <t xml:space="preserve">first-101-latest/pages-paste/092-vs-fhsa-vs-rrsp.html</t>
  </si>
  <si>
    <t xml:space="preserve">FHSA vs RRSP Home Buyers' Plan</t>
  </si>
  <si>
    <t xml:space="preserve">FHSA vs RRSP Home Buyers' Plan: Which to Use First</t>
  </si>
  <si>
    <t xml:space="preserve">FHSA vs RRSP for a first home: both give a deduction, but only the Home Buyers' Plan must be repaid, at $4,000 a year on a $60,000 withdrawal.</t>
  </si>
  <si>
    <t xml:space="preserve">fhsa vs rrsp</t>
  </si>
  <si>
    <t xml:space="preserve">https://wealthscale.ca/vs/fhsa-vs-tfsa/</t>
  </si>
  <si>
    <t xml:space="preserve">first-101-latest/pages-paste/093-vs-fhsa-vs-tfsa.html</t>
  </si>
  <si>
    <t xml:space="preserve">FHSA vs TFSA for a Down Payment</t>
  </si>
  <si>
    <t xml:space="preserve">FHSA vs TFSA: Which Is Better for Your Down Payment?</t>
  </si>
  <si>
    <t xml:space="preserve">FHSA vs TFSA for a down payment: an $8,000 FHSA deduction saves $2,522 at $75,000 in Ontario in 2026, while the TFSA keeps every withdrawal flexible.</t>
  </si>
  <si>
    <t xml:space="preserve">fhsa vs tfsa</t>
  </si>
  <si>
    <t xml:space="preserve">https://wealthscale.ca/vs/gic-vs-hisa/</t>
  </si>
  <si>
    <t xml:space="preserve">first-101-latest/pages-paste/094-vs-gic-vs-hisa.html</t>
  </si>
  <si>
    <t xml:space="preserve">GIC vs HISA</t>
  </si>
  <si>
    <t xml:space="preserve">GIC vs HISA: Rates, Access, Tax and Which Pays More</t>
  </si>
  <si>
    <t xml:space="preserve">GIC vs HISA in Canada: the best 1-year GIC paid 3.85% and the top everyday savings rate 2.85% on October 22, 2026. Compare access, CDIC cover and tax.</t>
  </si>
  <si>
    <t xml:space="preserve">gic vs hisa</t>
  </si>
  <si>
    <t xml:space="preserve">https://wealthscale.ca/markets/how-to-buy-us-stocks/</t>
  </si>
  <si>
    <t xml:space="preserve">first-101-latest/pages-paste/095-markets-how-to-buy-us-stocks.html</t>
  </si>
  <si>
    <t xml:space="preserve">/markets/</t>
  </si>
  <si>
    <t xml:space="preserve">How to Buy US Stocks in Canada</t>
  </si>
  <si>
    <t xml:space="preserve">How to Buy US Stocks in Canada: Brokers, Accounts and Tax</t>
  </si>
  <si>
    <t xml:space="preserve">How to buy US stocks in Canada: pick a broker, open the right account, file a W-8BEN for the 15% treaty rate and trade. Seven brokers charge $0 on US stocks.</t>
  </si>
  <si>
    <t xml:space="preserve">how to buy us stocks in canada</t>
  </si>
  <si>
    <t xml:space="preserve">https://wealthscale.ca/learn/how-to-invest/</t>
  </si>
  <si>
    <t xml:space="preserve">first-101-latest/pages-paste/096-learn-how-to-invest.html</t>
  </si>
  <si>
    <t xml:space="preserve">How to Invest in Canada</t>
  </si>
  <si>
    <t xml:space="preserve">How to Invest in Canada: 10 Steps From Budget to First Trade</t>
  </si>
  <si>
    <t xml:space="preserve">How to invest in Canada in 10 steps: budget, pick a TFSA, RRSP or FHSA, compare DIY and robo fees from 0.37% a year at $50,000, then make a first trade.</t>
  </si>
  <si>
    <t xml:space="preserve">how to invest in canada</t>
  </si>
  <si>
    <t xml:space="preserve">https://wealthscale.ca/learn/transfer-investment-account/</t>
  </si>
  <si>
    <t xml:space="preserve">first-101-latest/pages-paste/098-learn-transfer-investment-account.html</t>
  </si>
  <si>
    <t xml:space="preserve">Transfer an Investment Account</t>
  </si>
  <si>
    <t xml:space="preserve">How to Transfer Investment Account Assets: TFSA, RRSP, Fees</t>
  </si>
  <si>
    <t xml:space="preserve">How to transfer investment account assets in Canada: use a direct transfer to protect TFSA room, and compare $150 transfer-out fees and rebates by broker.</t>
  </si>
  <si>
    <t xml:space="preserve">how to transfer investment account</t>
  </si>
  <si>
    <t xml:space="preserve">https://wealthscale.ca/benefits/cpp-oas-payment-dates/</t>
  </si>
  <si>
    <t xml:space="preserve">first-101-latest/pages-paste/099-benefits-cpp-oas-payment-dates.html</t>
  </si>
  <si>
    <t xml:space="preserve">CPP and OAS Payment Dates</t>
  </si>
  <si>
    <t xml:space="preserve">CPP Payment Dates 2026: CPP, OAS and GIS Deposit Calendar</t>
  </si>
  <si>
    <t xml:space="preserve">CPP payment dates 2026: the next CPP, OAS and GIS deposit is October 28, 2026. See all 12 dates, the $1,507.65 CPP maximum and the OAS amounts.</t>
  </si>
  <si>
    <t xml:space="preserve">cpp payment dates 2026</t>
  </si>
  <si>
    <t xml:space="preserve">https://wealthscale.ca/benefits/gst-hst-credit/</t>
  </si>
  <si>
    <t xml:space="preserve">first-101-latest/pages-paste/100-benefits-gst-hst-credit.html</t>
  </si>
  <si>
    <t xml:space="preserve">GST/HST Credit Payment Dates and Amounts</t>
  </si>
  <si>
    <t xml:space="preserve">GST Payment Dates 2026: GST/HST Credit and CGEB Schedule</t>
  </si>
  <si>
    <t xml:space="preserve">GST payment dates 2026: the next payment is January 5, 2027, now paid as the Canada Groceries and Essentials Benefit, up to $679 a year for a single adult.</t>
  </si>
  <si>
    <t xml:space="preserve">gst payment dates 2026</t>
  </si>
  <si>
    <t xml:space="preserve">https://wealthscale.ca/about/neha-gupta/</t>
  </si>
  <si>
    <t xml:space="preserve">first-101-latest/pages-paste/101-about-neha-gupta.html</t>
  </si>
  <si>
    <t xml:space="preserve">Neha Gupta, CFA</t>
  </si>
  <si>
    <t xml:space="preserve">Neha Gupta, CFA: Financial Reviewer</t>
  </si>
  <si>
    <t xml:space="preserve">Neha Gupta, CFA reviews WealthScale's investing pages. CFA charterholder in Winnipeg, in financial markets since 2005, with 2,600+ published articles.</t>
  </si>
  <si>
    <t xml:space="preserve">neha gupta cfa</t>
  </si>
  <si>
    <t xml:space="preserve">https://wealthscale.ca/privacy-policy/</t>
  </si>
  <si>
    <t xml:space="preserve">Replace the live page (done Oct 27 before the lawyer's written approval; draft note removed)</t>
  </si>
  <si>
    <t xml:space="preserve">first-101-latest/pages-paste/007-privacy-policy.html</t>
  </si>
  <si>
    <t xml:space="preserve">Privacy Policy</t>
  </si>
  <si>
    <t xml:space="preserve">WealthScale Privacy Policy: How We Handle Your Information</t>
  </si>
  <si>
    <t xml:space="preserve">WealthScale privacy policy: what WealthScale Media Inc. collects, why, and your rights. Calculator inputs stay in your browser and are not sent to us.</t>
  </si>
  <si>
    <t xml:space="preserve">wealthscale privacy policy</t>
  </si>
  <si>
    <t xml:space="preserve">https://wealthscale.ca/terms-of-use/</t>
  </si>
  <si>
    <t xml:space="preserve">first-101-latest/pages-paste/008-terms-of-use.html</t>
  </si>
  <si>
    <t xml:space="preserve">Terms of Use and Disclaimer</t>
  </si>
  <si>
    <t xml:space="preserve">WealthScale Terms of Use and Disclaimer for Readers</t>
  </si>
  <si>
    <t xml:space="preserve">WealthScale terms of use and disclaimer: general information only, not financial, tax or legal advice. Calculators give estimates and rates can change.</t>
  </si>
  <si>
    <t xml:space="preserve">wealthscale terms of use</t>
  </si>
  <si>
    <t xml:space="preserve">Order</t>
  </si>
  <si>
    <t xml:space="preserve">Old live URL (remove)</t>
  </si>
  <si>
    <t xml:space="preserve">Redirect type</t>
  </si>
  <si>
    <t xml:space="preserve">Redirect to (publish this page first)</t>
  </si>
  <si>
    <t xml:space="preserve">Why</t>
  </si>
  <si>
    <t xml:space="preserve">https://wealthscale.ca/calculators/currency-conversion-calculator/</t>
  </si>
  <si>
    <t xml:space="preserve">301</t>
  </si>
  <si>
    <t xml:space="preserve">The old page is no longer part of the site plan; this page takes its place</t>
  </si>
  <si>
    <t xml:space="preserve">Done Oct 27: published, 301 added, old page in Trash</t>
  </si>
  <si>
    <t xml:space="preserve">https://wealthscale.ca/compare/best-brokers-low-fx-fees/</t>
  </si>
  <si>
    <t xml:space="preserve">https://wealthscale.ca/learn/norberts-gambit/</t>
  </si>
  <si>
    <t xml:space="preserve">Widget</t>
  </si>
  <si>
    <t xml:space="preserve">What it does</t>
  </si>
  <si>
    <t xml:space="preserve">New pages using it (IDs)</t>
  </si>
  <si>
    <t xml:space="preserve">Number of new pages</t>
  </si>
  <si>
    <t xml:space="preserve">tfsa-room</t>
  </si>
  <si>
    <t xml:space="preserve">TFSA room from birth year, year became a resident, non-resident years, contributions and withdrawals; shows room now, room next January 1, and a year-by-year table</t>
  </si>
  <si>
    <t xml:space="preserve">133, 134, 135, 148, 189, 190, 192</t>
  </si>
  <si>
    <t xml:space="preserve">tfsa-overcontribution</t>
  </si>
  <si>
    <t xml:space="preserve">1% a month tax on an excess TFSA amount</t>
  </si>
  <si>
    <t xml:space="preserve">133, 134</t>
  </si>
  <si>
    <t xml:space="preserve">rrsp-room</t>
  </si>
  <si>
    <t xml:space="preserve">2026 RRSP deduction limit from earned income, pension adjustment, carry-forward</t>
  </si>
  <si>
    <t xml:space="preserve">130, 131, 138, 139</t>
  </si>
  <si>
    <t xml:space="preserve">rrsp-refund</t>
  </si>
  <si>
    <t xml:space="preserve">Tax saved by an RRSP deduction in any province, 2026 brackets</t>
  </si>
  <si>
    <t xml:space="preserve">102, 103, 104, 105, 106, 107, 108, 109, 110, 111, 112, 113, 114, 115, 116, 117, 118, 120, 122, 129, 130, 131, 138, 146, 171, 176, 191, 201</t>
  </si>
  <si>
    <t xml:space="preserve">income-tax</t>
  </si>
  <si>
    <t xml:space="preserve">2026 federal and provincial tax, marginal rates by income type</t>
  </si>
  <si>
    <t xml:space="preserve">102, 103, 104, 105, 106, 107, 108, 109, 110, 111, 112, 113, 114, 115, 116, 117, 118, 119, 120, 122, 125, 126, 127, 128, 154, 170, 185, 201</t>
  </si>
  <si>
    <t xml:space="preserve">capital-gains</t>
  </si>
  <si>
    <t xml:space="preserve">Tax on a capital gain, loss carry-forward</t>
  </si>
  <si>
    <t xml:space="preserve">105, 106, 107, 108, 109, 110, 111, 112, 113, 114, 115, 116, 117, 118, 123, 124, 125, 147, 148</t>
  </si>
  <si>
    <t xml:space="preserve">dividend-tax</t>
  </si>
  <si>
    <t xml:space="preserve">Tax on eligible and other than eligible dividends</t>
  </si>
  <si>
    <t xml:space="preserve">105, 112, 113, 114, 115, 127, 147, 148, 170</t>
  </si>
  <si>
    <t xml:space="preserve">fhsa-room</t>
  </si>
  <si>
    <t xml:space="preserve">FHSA participation room by year opened and contributions, lifetime room, closing date</t>
  </si>
  <si>
    <t xml:space="preserve">136, 137, 138</t>
  </si>
  <si>
    <t xml:space="preserve">fhsa-eligibility</t>
  </si>
  <si>
    <t xml:space="preserve">Four-question FHSA eligibility check</t>
  </si>
  <si>
    <t xml:space="preserve">136</t>
  </si>
  <si>
    <t xml:space="preserve">resp-grant</t>
  </si>
  <si>
    <t xml:space="preserve">CESG, Additional CESG, Canada Learning Bond, BC and Quebec grants, projection to 17</t>
  </si>
  <si>
    <t xml:space="preserve">142, 143, 144, 145, 146, 151, 177</t>
  </si>
  <si>
    <t xml:space="preserve">rrif-minimum</t>
  </si>
  <si>
    <t xml:space="preserve">RRIF minimum withdrawal and projection</t>
  </si>
  <si>
    <t xml:space="preserve">132, 140, 141, 149, 150, 193</t>
  </si>
  <si>
    <t xml:space="preserve">hbp-repayment</t>
  </si>
  <si>
    <t xml:space="preserve">Home Buyers' Plan repayment schedule</t>
  </si>
  <si>
    <t xml:space="preserve">129, 137, 171, 176</t>
  </si>
  <si>
    <t xml:space="preserve">first-home</t>
  </si>
  <si>
    <t xml:space="preserve">FHSA plus Home Buyers' Plan funds for one buyer or a couple</t>
  </si>
  <si>
    <t xml:space="preserve">136, 137, 173, 174</t>
  </si>
  <si>
    <t xml:space="preserve">tfsa-vs-rrsp</t>
  </si>
  <si>
    <t xml:space="preserve">After-tax comparison using marginal rates now and later</t>
  </si>
  <si>
    <t xml:space="preserve">account-chooser</t>
  </si>
  <si>
    <t xml:space="preserve">Which registered accounts fit a goal (general information)</t>
  </si>
  <si>
    <t xml:space="preserve">102</t>
  </si>
  <si>
    <t xml:space="preserve">us-withholding</t>
  </si>
  <si>
    <t xml:space="preserve">US dividend withholding by Canadian account type</t>
  </si>
  <si>
    <t xml:space="preserve">128, 147</t>
  </si>
  <si>
    <t xml:space="preserve">broker-cost</t>
  </si>
  <si>
    <t xml:space="preserve">Yearly cost at every broker for a trading pattern</t>
  </si>
  <si>
    <t xml:space="preserve">176, 182, 183, 184, 186, 187, 188, 190, 191, 194, 195</t>
  </si>
  <si>
    <t xml:space="preserve">options-cost</t>
  </si>
  <si>
    <t xml:space="preserve">Yearly options commissions by broker</t>
  </si>
  <si>
    <t xml:space="preserve">179, 184, 188</t>
  </si>
  <si>
    <t xml:space="preserve">margin-interest</t>
  </si>
  <si>
    <t xml:space="preserve">Margin interest by broker</t>
  </si>
  <si>
    <t xml:space="preserve">178, 188, 194</t>
  </si>
  <si>
    <t xml:space="preserve">robo-fee</t>
  </si>
  <si>
    <t xml:space="preserve">Yearly robo-advisor fees for an amount</t>
  </si>
  <si>
    <t xml:space="preserve">192, 193</t>
  </si>
  <si>
    <t xml:space="preserve">fee-drag</t>
  </si>
  <si>
    <t xml:space="preserve">What a higher fee costs over time</t>
  </si>
  <si>
    <t xml:space="preserve">186, 190, 191, 192, 193</t>
  </si>
  <si>
    <t xml:space="preserve">compound-interest</t>
  </si>
  <si>
    <t xml:space="preserve">Growth with monthly contributions, year-by-year</t>
  </si>
  <si>
    <t xml:space="preserve">135, 142, 144, 165, 167, 168, 200</t>
  </si>
  <si>
    <t xml:space="preserve">savings-goal</t>
  </si>
  <si>
    <t xml:space="preserve">Monthly saving needed for a target</t>
  </si>
  <si>
    <t xml:space="preserve">143, 145, 167, 168, 196, 200</t>
  </si>
  <si>
    <t xml:space="preserve">gic-calc</t>
  </si>
  <si>
    <t xml:space="preserve">GIC maturity value and tax</t>
  </si>
  <si>
    <t xml:space="preserve">166</t>
  </si>
  <si>
    <t xml:space="preserve">gic-ladder</t>
  </si>
  <si>
    <t xml:space="preserve">1 to 5-year GIC ladder</t>
  </si>
  <si>
    <t xml:space="preserve">hisa-earnings</t>
  </si>
  <si>
    <t xml:space="preserve">Interest at each savings account (or USD account)</t>
  </si>
  <si>
    <t xml:space="preserve">167, 180, 199</t>
  </si>
  <si>
    <t xml:space="preserve">card-cashback</t>
  </si>
  <si>
    <t xml:space="preserve">Net cash back after card fees</t>
  </si>
  <si>
    <t xml:space="preserve">deposit-insurance</t>
  </si>
  <si>
    <t xml:space="preserve">CDIC coverage by deposit category</t>
  </si>
  <si>
    <t xml:space="preserve">166, 197, 198, 199</t>
  </si>
  <si>
    <t xml:space="preserve">chequing-cost</t>
  </si>
  <si>
    <t xml:space="preserve">Yearly fees and interest at each chequing account</t>
  </si>
  <si>
    <t xml:space="preserve">181, 196, 197, 198, 199</t>
  </si>
  <si>
    <t xml:space="preserve">crypto-fee</t>
  </si>
  <si>
    <t xml:space="preserve">Trading fees at each authorized crypto platform</t>
  </si>
  <si>
    <t xml:space="preserve">ws-tier</t>
  </si>
  <si>
    <t xml:space="preserve">Wealthsimple tier and perks by assets</t>
  </si>
  <si>
    <t xml:space="preserve">176, 177, 178, 179, 180, 181</t>
  </si>
  <si>
    <t xml:space="preserve">Next payment date countdown and full schedule</t>
  </si>
  <si>
    <t xml:space="preserve">151, 152, 153, 155, 156, 157, 158, 159, 160, 161, 162, 163, 164, 169, 181</t>
  </si>
  <si>
    <t xml:space="preserve">oas-clawback</t>
  </si>
  <si>
    <t xml:space="preserve">OAS recovery tax</t>
  </si>
  <si>
    <t xml:space="preserve">126, 127, 150, 153, 154, 158, 165</t>
  </si>
  <si>
    <t xml:space="preserve">cpp-start-age</t>
  </si>
  <si>
    <t xml:space="preserve">CPP and OAS by start age 60 to 70</t>
  </si>
  <si>
    <t xml:space="preserve">121, 156, 157, 165</t>
  </si>
  <si>
    <t xml:space="preserve">gst-credit</t>
  </si>
  <si>
    <t xml:space="preserve">GST/HST credit estimate</t>
  </si>
  <si>
    <t xml:space="preserve">rrsp-withdrawal</t>
  </si>
  <si>
    <t xml:space="preserve">Withholding tax and final tax on an RRSP withdrawal</t>
  </si>
  <si>
    <t xml:space="preserve">129, 132, 139, 150, 171</t>
  </si>
  <si>
    <t xml:space="preserve">tax-software-picker</t>
  </si>
  <si>
    <t xml:space="preserve">Tax software that fits a return</t>
  </si>
  <si>
    <t xml:space="preserve">185, 201</t>
  </si>
  <si>
    <t xml:space="preserve">broker-match</t>
  </si>
  <si>
    <t xml:space="preserve">Filter brokers by features, ranked by score</t>
  </si>
  <si>
    <t xml:space="preserve">182, 183, 186, 187, 188, 189, 194, 195</t>
  </si>
  <si>
    <t xml:space="preserve">transfer-fee</t>
  </si>
  <si>
    <t xml:space="preserve">Transfer-out fees and which brokers cover them</t>
  </si>
  <si>
    <t xml:space="preserve">182, 183, 184</t>
  </si>
  <si>
    <t xml:space="preserve">countdown</t>
  </si>
  <si>
    <t xml:space="preserve">Days to a deadline</t>
  </si>
  <si>
    <t xml:space="preserve">201</t>
  </si>
  <si>
    <t xml:space="preserve">table-filter</t>
  </si>
  <si>
    <t xml:space="preserve">Wrap a static table: `&lt;div data-ws-widget="table-filter"&gt;&lt;div class="ws-table-wrap"&gt;&lt;table&gt;...&lt;/table&gt;&lt;/div&gt;&lt;/div&gt;` adds search and sorting</t>
  </si>
  <si>
    <t xml:space="preserve">103, 106, 107, 108, 109, 110, 111, 112, 113, 114, 115, 116, 117, 118, 119, 120, 123, 124, 128, 141, 153, 154, 158, 166, 167, 170, 171, 172, 173, 174, 175, 186, 187, 188, 189, 190, 191, 192, 193, 194, 195, 196, 197, 198, 199, 200</t>
  </si>
  <si>
    <t xml:space="preserve">cipf-coverage</t>
  </si>
  <si>
    <t xml:space="preserve">CIPF coverage by account group at one investment dealer</t>
  </si>
  <si>
    <t xml:space="preserve">180</t>
  </si>
  <si>
    <t xml:space="preserve">drip-growth</t>
  </si>
  <si>
    <t xml:space="preserve">Shares and dividends over time with fractional, whole-share or no reinvestment</t>
  </si>
  <si>
    <t xml:space="preserve">take-home-pay</t>
  </si>
  <si>
    <t xml:space="preserve">Take-home pay after income tax, CPP, CPP2 and EI (QPP and QPIP in Quebec), per pay period (added for pages 102 to 201)</t>
  </si>
  <si>
    <t xml:space="preserve">102, 103, 104, 106, 107, 108, 109, 110, 111, 112, 113, 114, 115, 116, 117, 118, 119, 120, 121, 122, 161</t>
  </si>
  <si>
    <t xml:space="preserve">superficial-loss</t>
  </si>
  <si>
    <t xml:space="preserve">Checks whether a loss is a superficial loss: the 61-day window and the denied portion</t>
  </si>
  <si>
    <t xml:space="preserve">123, 124</t>
  </si>
  <si>
    <t xml:space="preserve">spousal-attribution</t>
  </si>
  <si>
    <t xml:space="preserve">How much of a spousal RRSP withdrawal is taxed to the contributor (three-year rule)</t>
  </si>
  <si>
    <t xml:space="preserve">130</t>
  </si>
  <si>
    <t xml:space="preserve">pension-split</t>
  </si>
  <si>
    <t xml:space="preserve">Best split of eligible pension income between spouses and the tax saved</t>
  </si>
  <si>
    <t xml:space="preserve">126, 150, 154</t>
  </si>
  <si>
    <t xml:space="preserve">retirement-income</t>
  </si>
  <si>
    <t xml:space="preserve">Yearly retirement income from savings, CPP and OAS by start age</t>
  </si>
  <si>
    <t xml:space="preserve">132, 140, 141, 149, 153, 155, 156, 157, 158, 162, 165</t>
  </si>
  <si>
    <t xml:space="preserve">net-worth</t>
  </si>
  <si>
    <t xml:space="preserve">Net worth from assets and debts, with debt and liquidity ratios</t>
  </si>
  <si>
    <t xml:space="preserve">168</t>
  </si>
  <si>
    <t xml:space="preserve">ccb-calc</t>
  </si>
  <si>
    <t xml:space="preserve">Canada Child Benefit estimate for July 2026 to June 2027</t>
  </si>
  <si>
    <t xml:space="preserve">151, 152, 169</t>
  </si>
  <si>
    <t xml:space="preserve">gis-calc</t>
  </si>
  <si>
    <t xml:space="preserve">Guaranteed Income Supplement estimate (and Allowance)</t>
  </si>
  <si>
    <t xml:space="preserve">155, 162</t>
  </si>
  <si>
    <t xml:space="preserve">cdb-calc</t>
  </si>
  <si>
    <t xml:space="preserve">Canada Disability Benefit estimate</t>
  </si>
  <si>
    <t xml:space="preserve">159, 164</t>
  </si>
  <si>
    <t xml:space="preserve">otb-calc</t>
  </si>
  <si>
    <t xml:space="preserve">Ontario Trillium Benefit estimate</t>
  </si>
  <si>
    <t xml:space="preserve">160, 163</t>
  </si>
  <si>
    <t xml:space="preserve">cwb-calc</t>
  </si>
  <si>
    <t xml:space="preserve">Canada Workers Benefit estimate</t>
  </si>
  <si>
    <t xml:space="preserve">161</t>
  </si>
  <si>
    <t xml:space="preserve">mortgage-payment</t>
  </si>
  <si>
    <t xml:space="preserve">Mortgage payment by frequency, interest over the term and an amortization table</t>
  </si>
  <si>
    <t xml:space="preserve">172, 173, 174, 175</t>
  </si>
  <si>
    <t xml:space="preserve">mortgage-affordability</t>
  </si>
  <si>
    <t xml:space="preserve">Maximum home price from income, debts and down payment (GDS, TDS, stress test, insurance)</t>
  </si>
  <si>
    <t xml:space="preserve">172, 173, 175</t>
  </si>
  <si>
    <t xml:space="preserve">land-transfer-tax</t>
  </si>
  <si>
    <t xml:space="preserve">Land transfer tax or registration fees by province, with first-time buyer rebates</t>
  </si>
  <si>
    <t xml:space="preserve">173, 174</t>
  </si>
  <si>
    <t xml:space="preserve">#</t>
  </si>
  <si>
    <t xml:space="preserve">Item</t>
  </si>
  <si>
    <t xml:space="preserve">Owner</t>
  </si>
  <si>
    <t xml:space="preserve">Why it matters</t>
  </si>
  <si>
    <t xml:space="preserve">CPA review of the standard rules stated on pages 102 to 201 without a register entry (the full list, page by page, is in factcheck-notes-next100.md in this package).</t>
  </si>
  <si>
    <t xml:space="preserve">Sharad</t>
  </si>
  <si>
    <t xml:space="preserve">Rules are worded generally on the pages; confirm or ask for a change before Day 6.</t>
  </si>
  <si>
    <t xml:space="preserve">Open</t>
  </si>
  <si>
    <t xml:space="preserve">2026 dividend tax credit rates are not yet verified for Alberta, Saskatchewan, Manitoba, Yukon, the Northwest Territories and Nunavut. Pages and calculators show 'being confirmed' for these six.</t>
  </si>
  <si>
    <t xml:space="preserve">Adding the six rates turns dividend figures on for every province.</t>
  </si>
  <si>
    <t xml:space="preserve">Pages state the 2026 tax-year dates set by the Income Tax Act: RRSP contributions by March 1, 2027 (the 60th day of 2027), most returns and all balances by April 30, 2027, and June 15, 2027 for the self-employed. The CRA has not yet published its important-dates page for the 2026 tax year.</t>
  </si>
  <si>
    <t xml:space="preserve">Navneet</t>
  </si>
  <si>
    <t xml:space="preserve">Check the CRA page when it is published; change a page only if a date differs.</t>
  </si>
  <si>
    <t xml:space="preserve">Bank offers on pages 196 to 200 were checked on October 23, 2026; most big-bank offers end between October 29 and November 3, 2026.</t>
  </si>
  <si>
    <t xml:space="preserve">Check each offer's end date the morning the page goes live and remove any that have ended.</t>
  </si>
  <si>
    <t xml:space="preserve">Canada Disability Benefit thresholds for July 2026 to June 2027 ($23,483 single, $33,182.50 couple) are calculated from the regulation's indexing factor; the government's benefit page still shows $23,000 and $32,500.</t>
  </si>
  <si>
    <t xml:space="preserve">Confirm the method or switch to the page's figures.</t>
  </si>
  <si>
    <t xml:space="preserve">Canada Workers Benefit 2026 income end points are not published by the CRA; pages show them only as our calculation from the published rates.</t>
  </si>
  <si>
    <t xml:space="preserve">Replace with the CRA's figures when published.</t>
  </si>
  <si>
    <t xml:space="preserve">Alberta land titles fee: the schedule does not say whether the $5 per $5,000 is charged on part of $5,000. The calculator counts full $5,000 steps.</t>
  </si>
  <si>
    <t xml:space="preserve">Change one line in the land transfer calculator if Alberta confirms it rounds up.</t>
  </si>
  <si>
    <t xml:space="preserve">CMHC's 0.20% premium surcharge: confirmed for first-time buyers choosing 30 years (2024 notice); its scope after the December 15, 2024 expansion to all first-time buyers and new builds is not stated on an official page.</t>
  </si>
  <si>
    <t xml:space="preserve">The mortgage calculators add 0.20% to every insured 30-year amortization.</t>
  </si>
  <si>
    <t xml:space="preserve">2027 payment dates for the CCB, Canada Disability Benefit, Ontario Trillium Benefit and advance Canada Workers Benefit are not yet published.</t>
  </si>
  <si>
    <t xml:space="preserve">Add the dates to the benefit pages and the payment-date calculator when published.</t>
  </si>
  <si>
    <t xml:space="preserve">Wealthsimple's own pages conflict on several figures (USD prime for margin, options strategies by account, account number length, early pay timing, registered and USD savings rates, Wealthsimple Tax Pro return count). Pages give both values or leave the point out.</t>
  </si>
  <si>
    <t xml:space="preserve">Re-check after Wealthsimple's November 5, 2026 event and settle each conflict.</t>
  </si>
  <si>
    <t xml:space="preserve">Quebec take-home pay: the calculator values Quebec non-refundable amounts at the 14% lowest rate; Revenu Quebec does not state the conversion rate in words on the pages opened.</t>
  </si>
  <si>
    <t xml:space="preserve">Confirm the 14% assumption.</t>
  </si>
  <si>
    <t xml:space="preserve">Superficial loss with a partial buy-back: the denial formula is not stated in the Income Tax Act or on a CRA page opened. The checker flags a partial case without computing the denied part.</t>
  </si>
  <si>
    <t xml:space="preserve">Add the formula to the calculator if confirmed.</t>
  </si>
  <si>
    <t xml:space="preserve">Provincial LIRA and LIF rules (maximums, early access, conversion ages) are not verified for any province; pages describe them only in general terms.</t>
  </si>
  <si>
    <t xml:space="preserve">Province-by-province figures would add depth to pages 140, 141 and 149.</t>
  </si>
  <si>
    <t xml:space="preserve">Re-do the first 101 pages from first-101-latest (sheet "First 101 pages (latest)"): on Tuesday, October 27, publish the three replacement pages, add the three 301 redirects, trash the three old pages and do pages 001 to 050; on Wednesday, October 28, do pages 051 to 101; check all 101 on Thursday, October 29.</t>
  </si>
  <si>
    <t xml:space="preserve">The live pages came from an earlier package; the latest version removes ended offers, corrects Ontario dividend figures, states the 2026 deadlines and links to pages 102 to 201.</t>
  </si>
  <si>
    <t xml:space="preserve">Manulife Bank's 3.00% promotional savings rate ends for accounts opened after October 30, 2026. It is removed from the calculator file and from the updated first-100 pages.</t>
  </si>
  <si>
    <t xml:space="preserve">Covered when the live pages are replaced on October 27.</t>
  </si>
  <si>
    <t xml:space="preserve">Questwealth's account page names joint margin accounts, but its scoring input does not count a joint account, so it is not ranked on the joint-accounts list (page 194 explains this). Adding it would raise Questwealth's account points and could change robo-advisor ranks on several pages.</t>
  </si>
  <si>
    <t xml:space="preserve">Decide whether to rescore; ranks are published on the first 101 pages too.</t>
  </si>
  <si>
    <t xml:space="preserve">The tax engine and calculators include the Ontario and B.C. low-income tax reductions only. New Brunswick, Nova Scotia, Prince Edward Island and Newfoundland and Labrador also have low-income reductions, which are not in the verified registers, so tax for those provinces at incomes from $20,000 to $40,000 may be overstated. The pages say that only the basic personal amounts are counted.</t>
  </si>
  <si>
    <t xml:space="preserve">Verify the four provinces' 2026 reduction amounts and income thresholds; one data change then corrects every calculator and table.</t>
  </si>
</sst>
</file>

<file path=xl/styles.xml><?xml version="1.0" encoding="utf-8"?>
<styleSheet xmlns="http://schemas.openxmlformats.org/spreadsheetml/2006/main">
  <numFmts count="5">
    <numFmt numFmtId="164" formatCode="General"/>
    <numFmt numFmtId="165" formatCode="mmm\ d&quot;, &quot;yyyy"/>
    <numFmt numFmtId="166" formatCode="#,##0"/>
    <numFmt numFmtId="167" formatCode="dddd&quot;, &quot;mmm\ d&quot;, &quot;yyyy"/>
    <numFmt numFmtId="168" formatCode="ddd&quot;, &quot;mmm\ d"/>
  </numFmts>
  <fonts count="6">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s>
  <fills count="3">
    <fill>
      <patternFill patternType="none"/>
    </fill>
    <fill>
      <patternFill patternType="gray125"/>
    </fill>
    <fill>
      <patternFill patternType="solid">
        <fgColor rgb="FF2B1A45"/>
        <bgColor rgb="FF333300"/>
      </patternFill>
    </fill>
  </fills>
  <borders count="2">
    <border diagonalUp="false" diagonalDown="false">
      <left/>
      <right/>
      <top/>
      <bottom/>
      <diagonal/>
    </border>
    <border diagonalUp="false" diagonalDown="false">
      <left style="thin">
        <color rgb="FFBFB6CF"/>
      </left>
      <right style="thin">
        <color rgb="FFBFB6CF"/>
      </right>
      <top style="thin">
        <color rgb="FFBFB6CF"/>
      </top>
      <bottom style="thin">
        <color rgb="FFBFB6C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xf numFmtId="168"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2B1A45"/>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6C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B1A4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6"/>
    <col collapsed="false" customWidth="true" hidden="false" outlineLevel="0" max="3" min="3" style="1" width="13"/>
    <col collapsed="false" customWidth="true" hidden="false" outlineLevel="0" max="4" min="4" style="1" width="52"/>
    <col collapsed="false" customWidth="true" hidden="false" outlineLevel="0" max="5" min="5" style="1" width="22"/>
    <col collapsed="false" customWidth="true" hidden="false" outlineLevel="0" max="6" min="6" style="1" width="34"/>
    <col collapsed="false" customWidth="true" hidden="false" outlineLevel="0" max="7" min="7" style="1" width="44"/>
    <col collapsed="false" customWidth="true" hidden="false" outlineLevel="0" max="8" min="8" style="1" width="50"/>
    <col collapsed="false" customWidth="true" hidden="false" outlineLevel="0" max="9" min="9" style="1" width="9"/>
    <col collapsed="false" customWidth="true" hidden="false" outlineLevel="0" max="10" min="10" style="1" width="60"/>
    <col collapsed="false" customWidth="true" hidden="false" outlineLevel="0" max="11" min="11" style="1" width="9"/>
    <col collapsed="false" customWidth="true" hidden="false" outlineLevel="0" max="12" min="12" style="1" width="32"/>
    <col collapsed="false" customWidth="true" hidden="false" outlineLevel="0" max="13" min="13" style="1" width="50"/>
    <col collapsed="false" customWidth="true" hidden="false" outlineLevel="0" max="14" min="14" style="1" width="16"/>
    <col collapsed="false" customWidth="true" hidden="false" outlineLevel="0" max="15" min="15" style="1" width="10"/>
    <col collapsed="false" customWidth="true" hidden="false" outlineLevel="0" max="16" min="16" style="1" width="38"/>
    <col collapsed="false" customWidth="true" hidden="false" outlineLevel="0" max="17" min="17" style="1" width="9"/>
    <col collapsed="false" customWidth="true" hidden="false" outlineLevel="0" max="18" min="18" style="1" width="48"/>
    <col collapsed="false" customWidth="true" hidden="false" outlineLevel="0" max="20" min="19" style="1" width="13"/>
  </cols>
  <sheetData>
    <row r="1" customFormat="false" ht="34.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customFormat="false" ht="34.5" hidden="false" customHeight="true" outlineLevel="0" collapsed="false">
      <c r="A2" s="3" t="n">
        <v>102</v>
      </c>
      <c r="B2" s="3" t="n">
        <v>6</v>
      </c>
      <c r="C2" s="4" t="n">
        <v>46325</v>
      </c>
      <c r="D2" s="3" t="s">
        <v>20</v>
      </c>
      <c r="E2" s="3" t="s">
        <v>21</v>
      </c>
      <c r="F2" s="3" t="s">
        <v>22</v>
      </c>
      <c r="G2" s="3" t="s">
        <v>23</v>
      </c>
      <c r="H2" s="3" t="s">
        <v>24</v>
      </c>
      <c r="I2" s="3" t="n">
        <f aca="false">LEN(H2)</f>
        <v>58</v>
      </c>
      <c r="J2" s="3" t="s">
        <v>25</v>
      </c>
      <c r="K2" s="3" t="n">
        <f aca="false">LEN(J2)</f>
        <v>153</v>
      </c>
      <c r="L2" s="3" t="s">
        <v>26</v>
      </c>
      <c r="M2" s="3" t="s">
        <v>27</v>
      </c>
      <c r="N2" s="3" t="s">
        <v>28</v>
      </c>
      <c r="O2" s="3" t="s">
        <v>29</v>
      </c>
      <c r="P2" s="3" t="s">
        <v>30</v>
      </c>
      <c r="Q2" s="5" t="n">
        <v>4088</v>
      </c>
      <c r="R2" s="3" t="s">
        <v>31</v>
      </c>
      <c r="S2" s="3" t="s">
        <v>32</v>
      </c>
      <c r="T2" s="4"/>
    </row>
    <row r="3" customFormat="false" ht="23.25" hidden="false" customHeight="true" outlineLevel="0" collapsed="false">
      <c r="A3" s="3" t="n">
        <v>103</v>
      </c>
      <c r="B3" s="3" t="n">
        <v>6</v>
      </c>
      <c r="C3" s="4" t="n">
        <v>46325</v>
      </c>
      <c r="D3" s="3" t="s">
        <v>33</v>
      </c>
      <c r="E3" s="3" t="s">
        <v>34</v>
      </c>
      <c r="F3" s="3" t="s">
        <v>35</v>
      </c>
      <c r="G3" s="3" t="s">
        <v>35</v>
      </c>
      <c r="H3" s="3" t="s">
        <v>36</v>
      </c>
      <c r="I3" s="3" t="n">
        <f aca="false">LEN(H3)</f>
        <v>57</v>
      </c>
      <c r="J3" s="3" t="s">
        <v>37</v>
      </c>
      <c r="K3" s="3" t="n">
        <f aca="false">LEN(J3)</f>
        <v>144</v>
      </c>
      <c r="L3" s="3" t="s">
        <v>38</v>
      </c>
      <c r="M3" s="3" t="s">
        <v>39</v>
      </c>
      <c r="N3" s="3" t="s">
        <v>40</v>
      </c>
      <c r="O3" s="3" t="s">
        <v>29</v>
      </c>
      <c r="P3" s="3" t="s">
        <v>41</v>
      </c>
      <c r="Q3" s="5" t="n">
        <v>6257</v>
      </c>
      <c r="R3" s="3" t="s">
        <v>42</v>
      </c>
      <c r="S3" s="3" t="s">
        <v>32</v>
      </c>
      <c r="T3" s="4"/>
    </row>
    <row r="4" customFormat="false" ht="34.5" hidden="false" customHeight="true" outlineLevel="0" collapsed="false">
      <c r="A4" s="3" t="n">
        <v>104</v>
      </c>
      <c r="B4" s="3" t="n">
        <v>6</v>
      </c>
      <c r="C4" s="4" t="n">
        <v>46325</v>
      </c>
      <c r="D4" s="3" t="s">
        <v>43</v>
      </c>
      <c r="E4" s="3" t="s">
        <v>44</v>
      </c>
      <c r="F4" s="3" t="s">
        <v>45</v>
      </c>
      <c r="G4" s="3" t="s">
        <v>45</v>
      </c>
      <c r="H4" s="3" t="s">
        <v>46</v>
      </c>
      <c r="I4" s="3" t="n">
        <f aca="false">LEN(H4)</f>
        <v>52</v>
      </c>
      <c r="J4" s="3" t="s">
        <v>47</v>
      </c>
      <c r="K4" s="3" t="n">
        <f aca="false">LEN(J4)</f>
        <v>150</v>
      </c>
      <c r="L4" s="3" t="s">
        <v>48</v>
      </c>
      <c r="M4" s="3" t="s">
        <v>49</v>
      </c>
      <c r="N4" s="3" t="s">
        <v>50</v>
      </c>
      <c r="O4" s="3" t="s">
        <v>29</v>
      </c>
      <c r="P4" s="3" t="s">
        <v>51</v>
      </c>
      <c r="Q4" s="5" t="n">
        <v>5840</v>
      </c>
      <c r="R4" s="3" t="s">
        <v>52</v>
      </c>
      <c r="S4" s="3" t="s">
        <v>32</v>
      </c>
      <c r="T4" s="4"/>
    </row>
    <row r="5" customFormat="false" ht="34.5" hidden="false" customHeight="true" outlineLevel="0" collapsed="false">
      <c r="A5" s="3" t="n">
        <v>105</v>
      </c>
      <c r="B5" s="3" t="n">
        <v>6</v>
      </c>
      <c r="C5" s="4" t="n">
        <v>46325</v>
      </c>
      <c r="D5" s="3" t="s">
        <v>53</v>
      </c>
      <c r="E5" s="3" t="s">
        <v>44</v>
      </c>
      <c r="F5" s="3" t="s">
        <v>54</v>
      </c>
      <c r="G5" s="3" t="s">
        <v>55</v>
      </c>
      <c r="H5" s="3" t="s">
        <v>56</v>
      </c>
      <c r="I5" s="3" t="n">
        <f aca="false">LEN(H5)</f>
        <v>54</v>
      </c>
      <c r="J5" s="3" t="s">
        <v>57</v>
      </c>
      <c r="K5" s="3" t="n">
        <f aca="false">LEN(J5)</f>
        <v>151</v>
      </c>
      <c r="L5" s="3" t="s">
        <v>58</v>
      </c>
      <c r="M5" s="3" t="s">
        <v>59</v>
      </c>
      <c r="N5" s="3" t="s">
        <v>50</v>
      </c>
      <c r="O5" s="3" t="s">
        <v>29</v>
      </c>
      <c r="P5" s="3" t="s">
        <v>60</v>
      </c>
      <c r="Q5" s="5" t="n">
        <v>8928</v>
      </c>
      <c r="R5" s="3" t="s">
        <v>61</v>
      </c>
      <c r="S5" s="3" t="s">
        <v>32</v>
      </c>
      <c r="T5" s="4"/>
    </row>
    <row r="6" customFormat="false" ht="34.5" hidden="false" customHeight="true" outlineLevel="0" collapsed="false">
      <c r="A6" s="3" t="n">
        <v>106</v>
      </c>
      <c r="B6" s="3" t="n">
        <v>6</v>
      </c>
      <c r="C6" s="4" t="n">
        <v>46325</v>
      </c>
      <c r="D6" s="3" t="s">
        <v>62</v>
      </c>
      <c r="E6" s="3" t="s">
        <v>44</v>
      </c>
      <c r="F6" s="3" t="s">
        <v>63</v>
      </c>
      <c r="G6" s="3" t="s">
        <v>64</v>
      </c>
      <c r="H6" s="3" t="s">
        <v>65</v>
      </c>
      <c r="I6" s="3" t="n">
        <f aca="false">LEN(H6)</f>
        <v>58</v>
      </c>
      <c r="J6" s="3" t="s">
        <v>66</v>
      </c>
      <c r="K6" s="3" t="n">
        <f aca="false">LEN(J6)</f>
        <v>145</v>
      </c>
      <c r="L6" s="3" t="s">
        <v>67</v>
      </c>
      <c r="M6" s="3" t="s">
        <v>68</v>
      </c>
      <c r="N6" s="3" t="s">
        <v>69</v>
      </c>
      <c r="O6" s="3" t="s">
        <v>29</v>
      </c>
      <c r="P6" s="3" t="s">
        <v>70</v>
      </c>
      <c r="Q6" s="5" t="n">
        <v>7214</v>
      </c>
      <c r="R6" s="3" t="s">
        <v>71</v>
      </c>
      <c r="S6" s="3" t="s">
        <v>32</v>
      </c>
      <c r="T6" s="4"/>
    </row>
    <row r="7" customFormat="false" ht="34.5" hidden="false" customHeight="true" outlineLevel="0" collapsed="false">
      <c r="A7" s="3" t="n">
        <v>107</v>
      </c>
      <c r="B7" s="3" t="n">
        <v>6</v>
      </c>
      <c r="C7" s="4" t="n">
        <v>46325</v>
      </c>
      <c r="D7" s="3" t="s">
        <v>72</v>
      </c>
      <c r="E7" s="3" t="s">
        <v>44</v>
      </c>
      <c r="F7" s="3" t="s">
        <v>73</v>
      </c>
      <c r="G7" s="3" t="s">
        <v>74</v>
      </c>
      <c r="H7" s="3" t="s">
        <v>75</v>
      </c>
      <c r="I7" s="3" t="n">
        <f aca="false">LEN(H7)</f>
        <v>56</v>
      </c>
      <c r="J7" s="3" t="s">
        <v>76</v>
      </c>
      <c r="K7" s="3" t="n">
        <f aca="false">LEN(J7)</f>
        <v>153</v>
      </c>
      <c r="L7" s="3" t="s">
        <v>77</v>
      </c>
      <c r="M7" s="3" t="s">
        <v>78</v>
      </c>
      <c r="N7" s="3" t="s">
        <v>69</v>
      </c>
      <c r="O7" s="3" t="s">
        <v>29</v>
      </c>
      <c r="P7" s="3" t="s">
        <v>79</v>
      </c>
      <c r="Q7" s="5" t="n">
        <v>6433</v>
      </c>
      <c r="R7" s="3" t="s">
        <v>80</v>
      </c>
      <c r="S7" s="3" t="s">
        <v>32</v>
      </c>
      <c r="T7" s="4"/>
    </row>
    <row r="8" customFormat="false" ht="34.5" hidden="false" customHeight="true" outlineLevel="0" collapsed="false">
      <c r="A8" s="3" t="n">
        <v>108</v>
      </c>
      <c r="B8" s="3" t="n">
        <v>6</v>
      </c>
      <c r="C8" s="4" t="n">
        <v>46325</v>
      </c>
      <c r="D8" s="3" t="s">
        <v>81</v>
      </c>
      <c r="E8" s="3" t="s">
        <v>44</v>
      </c>
      <c r="F8" s="3" t="s">
        <v>82</v>
      </c>
      <c r="G8" s="3" t="s">
        <v>83</v>
      </c>
      <c r="H8" s="3" t="s">
        <v>84</v>
      </c>
      <c r="I8" s="3" t="n">
        <f aca="false">LEN(H8)</f>
        <v>58</v>
      </c>
      <c r="J8" s="3" t="s">
        <v>85</v>
      </c>
      <c r="K8" s="3" t="n">
        <f aca="false">LEN(J8)</f>
        <v>155</v>
      </c>
      <c r="L8" s="3" t="s">
        <v>86</v>
      </c>
      <c r="M8" s="3" t="s">
        <v>87</v>
      </c>
      <c r="N8" s="3" t="s">
        <v>69</v>
      </c>
      <c r="O8" s="3" t="s">
        <v>29</v>
      </c>
      <c r="P8" s="3" t="s">
        <v>88</v>
      </c>
      <c r="Q8" s="5" t="n">
        <v>6005</v>
      </c>
      <c r="R8" s="3" t="s">
        <v>89</v>
      </c>
      <c r="S8" s="3" t="s">
        <v>32</v>
      </c>
      <c r="T8" s="4"/>
    </row>
    <row r="9" customFormat="false" ht="34.5" hidden="false" customHeight="true" outlineLevel="0" collapsed="false">
      <c r="A9" s="3" t="n">
        <v>109</v>
      </c>
      <c r="B9" s="3" t="n">
        <v>6</v>
      </c>
      <c r="C9" s="4" t="n">
        <v>46325</v>
      </c>
      <c r="D9" s="3" t="s">
        <v>90</v>
      </c>
      <c r="E9" s="3" t="s">
        <v>44</v>
      </c>
      <c r="F9" s="3" t="s">
        <v>91</v>
      </c>
      <c r="G9" s="3" t="s">
        <v>92</v>
      </c>
      <c r="H9" s="3" t="s">
        <v>93</v>
      </c>
      <c r="I9" s="3" t="n">
        <f aca="false">LEN(H9)</f>
        <v>57</v>
      </c>
      <c r="J9" s="3" t="s">
        <v>94</v>
      </c>
      <c r="K9" s="3" t="n">
        <f aca="false">LEN(J9)</f>
        <v>149</v>
      </c>
      <c r="L9" s="3" t="s">
        <v>95</v>
      </c>
      <c r="M9" s="3" t="s">
        <v>96</v>
      </c>
      <c r="N9" s="3" t="s">
        <v>69</v>
      </c>
      <c r="O9" s="3" t="s">
        <v>29</v>
      </c>
      <c r="P9" s="3" t="s">
        <v>97</v>
      </c>
      <c r="Q9" s="5" t="n">
        <v>6337</v>
      </c>
      <c r="R9" s="3" t="s">
        <v>98</v>
      </c>
      <c r="S9" s="3" t="s">
        <v>32</v>
      </c>
      <c r="T9" s="4"/>
    </row>
    <row r="10" customFormat="false" ht="34.5" hidden="false" customHeight="true" outlineLevel="0" collapsed="false">
      <c r="A10" s="3" t="n">
        <v>110</v>
      </c>
      <c r="B10" s="3" t="n">
        <v>6</v>
      </c>
      <c r="C10" s="4" t="n">
        <v>46325</v>
      </c>
      <c r="D10" s="3" t="s">
        <v>99</v>
      </c>
      <c r="E10" s="3" t="s">
        <v>44</v>
      </c>
      <c r="F10" s="3" t="s">
        <v>100</v>
      </c>
      <c r="G10" s="3" t="s">
        <v>101</v>
      </c>
      <c r="H10" s="3" t="s">
        <v>102</v>
      </c>
      <c r="I10" s="3" t="n">
        <f aca="false">LEN(H10)</f>
        <v>53</v>
      </c>
      <c r="J10" s="3" t="s">
        <v>103</v>
      </c>
      <c r="K10" s="3" t="n">
        <f aca="false">LEN(J10)</f>
        <v>150</v>
      </c>
      <c r="L10" s="3" t="s">
        <v>104</v>
      </c>
      <c r="M10" s="3" t="s">
        <v>105</v>
      </c>
      <c r="N10" s="3" t="s">
        <v>69</v>
      </c>
      <c r="O10" s="3" t="s">
        <v>29</v>
      </c>
      <c r="P10" s="3" t="s">
        <v>106</v>
      </c>
      <c r="Q10" s="5" t="n">
        <v>6459</v>
      </c>
      <c r="R10" s="3" t="s">
        <v>107</v>
      </c>
      <c r="S10" s="3" t="s">
        <v>32</v>
      </c>
      <c r="T10" s="4"/>
    </row>
    <row r="11" customFormat="false" ht="34.5" hidden="false" customHeight="true" outlineLevel="0" collapsed="false">
      <c r="A11" s="3" t="n">
        <v>111</v>
      </c>
      <c r="B11" s="3" t="n">
        <v>6</v>
      </c>
      <c r="C11" s="4" t="n">
        <v>46325</v>
      </c>
      <c r="D11" s="3" t="s">
        <v>108</v>
      </c>
      <c r="E11" s="3" t="s">
        <v>44</v>
      </c>
      <c r="F11" s="3" t="s">
        <v>109</v>
      </c>
      <c r="G11" s="3" t="s">
        <v>110</v>
      </c>
      <c r="H11" s="3" t="s">
        <v>111</v>
      </c>
      <c r="I11" s="3" t="n">
        <f aca="false">LEN(H11)</f>
        <v>52</v>
      </c>
      <c r="J11" s="3" t="s">
        <v>112</v>
      </c>
      <c r="K11" s="3" t="n">
        <f aca="false">LEN(J11)</f>
        <v>146</v>
      </c>
      <c r="L11" s="3" t="s">
        <v>113</v>
      </c>
      <c r="M11" s="3" t="s">
        <v>114</v>
      </c>
      <c r="N11" s="3" t="s">
        <v>69</v>
      </c>
      <c r="O11" s="3" t="s">
        <v>29</v>
      </c>
      <c r="P11" s="3" t="s">
        <v>115</v>
      </c>
      <c r="Q11" s="5" t="n">
        <v>5468</v>
      </c>
      <c r="R11" s="3" t="s">
        <v>116</v>
      </c>
      <c r="S11" s="3" t="s">
        <v>32</v>
      </c>
      <c r="T11" s="4"/>
    </row>
    <row r="12" customFormat="false" ht="34.5" hidden="false" customHeight="true" outlineLevel="0" collapsed="false">
      <c r="A12" s="3" t="n">
        <v>112</v>
      </c>
      <c r="B12" s="3" t="n">
        <v>6</v>
      </c>
      <c r="C12" s="4" t="n">
        <v>46325</v>
      </c>
      <c r="D12" s="3" t="s">
        <v>117</v>
      </c>
      <c r="E12" s="3" t="s">
        <v>44</v>
      </c>
      <c r="F12" s="3" t="s">
        <v>118</v>
      </c>
      <c r="G12" s="3" t="s">
        <v>119</v>
      </c>
      <c r="H12" s="3" t="s">
        <v>120</v>
      </c>
      <c r="I12" s="3" t="n">
        <f aca="false">LEN(H12)</f>
        <v>55</v>
      </c>
      <c r="J12" s="3" t="s">
        <v>121</v>
      </c>
      <c r="K12" s="3" t="n">
        <f aca="false">LEN(J12)</f>
        <v>149</v>
      </c>
      <c r="L12" s="3" t="s">
        <v>122</v>
      </c>
      <c r="M12" s="3" t="s">
        <v>123</v>
      </c>
      <c r="N12" s="3" t="s">
        <v>69</v>
      </c>
      <c r="O12" s="3" t="s">
        <v>29</v>
      </c>
      <c r="P12" s="3" t="s">
        <v>124</v>
      </c>
      <c r="Q12" s="5" t="n">
        <v>5439</v>
      </c>
      <c r="R12" s="3" t="s">
        <v>125</v>
      </c>
      <c r="S12" s="3" t="s">
        <v>32</v>
      </c>
      <c r="T12" s="4"/>
    </row>
    <row r="13" customFormat="false" ht="34.5" hidden="false" customHeight="true" outlineLevel="0" collapsed="false">
      <c r="A13" s="3" t="n">
        <v>113</v>
      </c>
      <c r="B13" s="3" t="n">
        <v>6</v>
      </c>
      <c r="C13" s="4" t="n">
        <v>46325</v>
      </c>
      <c r="D13" s="3" t="s">
        <v>126</v>
      </c>
      <c r="E13" s="3" t="s">
        <v>44</v>
      </c>
      <c r="F13" s="3" t="s">
        <v>127</v>
      </c>
      <c r="G13" s="3" t="s">
        <v>128</v>
      </c>
      <c r="H13" s="3" t="s">
        <v>129</v>
      </c>
      <c r="I13" s="3" t="n">
        <f aca="false">LEN(H13)</f>
        <v>53</v>
      </c>
      <c r="J13" s="3" t="s">
        <v>130</v>
      </c>
      <c r="K13" s="3" t="n">
        <f aca="false">LEN(J13)</f>
        <v>146</v>
      </c>
      <c r="L13" s="3" t="s">
        <v>131</v>
      </c>
      <c r="M13" s="3" t="s">
        <v>132</v>
      </c>
      <c r="N13" s="3" t="s">
        <v>69</v>
      </c>
      <c r="O13" s="3" t="s">
        <v>29</v>
      </c>
      <c r="P13" s="3" t="s">
        <v>133</v>
      </c>
      <c r="Q13" s="5" t="n">
        <v>5285</v>
      </c>
      <c r="R13" s="3" t="s">
        <v>134</v>
      </c>
      <c r="S13" s="3" t="s">
        <v>32</v>
      </c>
      <c r="T13" s="4"/>
    </row>
    <row r="14" customFormat="false" ht="34.5" hidden="false" customHeight="true" outlineLevel="0" collapsed="false">
      <c r="A14" s="3" t="n">
        <v>114</v>
      </c>
      <c r="B14" s="3" t="n">
        <v>6</v>
      </c>
      <c r="C14" s="4" t="n">
        <v>46325</v>
      </c>
      <c r="D14" s="3" t="s">
        <v>135</v>
      </c>
      <c r="E14" s="3" t="s">
        <v>44</v>
      </c>
      <c r="F14" s="3" t="s">
        <v>136</v>
      </c>
      <c r="G14" s="3" t="s">
        <v>137</v>
      </c>
      <c r="H14" s="3" t="s">
        <v>138</v>
      </c>
      <c r="I14" s="3" t="n">
        <f aca="false">LEN(H14)</f>
        <v>55</v>
      </c>
      <c r="J14" s="3" t="s">
        <v>139</v>
      </c>
      <c r="K14" s="3" t="n">
        <f aca="false">LEN(J14)</f>
        <v>149</v>
      </c>
      <c r="L14" s="3" t="s">
        <v>140</v>
      </c>
      <c r="M14" s="3" t="s">
        <v>141</v>
      </c>
      <c r="N14" s="3" t="s">
        <v>69</v>
      </c>
      <c r="O14" s="3" t="s">
        <v>29</v>
      </c>
      <c r="P14" s="3" t="s">
        <v>142</v>
      </c>
      <c r="Q14" s="5" t="n">
        <v>5612</v>
      </c>
      <c r="R14" s="3" t="s">
        <v>143</v>
      </c>
      <c r="S14" s="3" t="s">
        <v>32</v>
      </c>
      <c r="T14" s="4"/>
    </row>
    <row r="15" customFormat="false" ht="34.5" hidden="false" customHeight="true" outlineLevel="0" collapsed="false">
      <c r="A15" s="3" t="n">
        <v>115</v>
      </c>
      <c r="B15" s="3" t="n">
        <v>6</v>
      </c>
      <c r="C15" s="4" t="n">
        <v>46325</v>
      </c>
      <c r="D15" s="3" t="s">
        <v>144</v>
      </c>
      <c r="E15" s="3" t="s">
        <v>44</v>
      </c>
      <c r="F15" s="3" t="s">
        <v>145</v>
      </c>
      <c r="G15" s="3" t="s">
        <v>146</v>
      </c>
      <c r="H15" s="3" t="s">
        <v>147</v>
      </c>
      <c r="I15" s="3" t="n">
        <f aca="false">LEN(H15)</f>
        <v>60</v>
      </c>
      <c r="J15" s="3" t="s">
        <v>148</v>
      </c>
      <c r="K15" s="3" t="n">
        <f aca="false">LEN(J15)</f>
        <v>149</v>
      </c>
      <c r="L15" s="3" t="s">
        <v>149</v>
      </c>
      <c r="M15" s="3" t="s">
        <v>150</v>
      </c>
      <c r="N15" s="3" t="s">
        <v>69</v>
      </c>
      <c r="O15" s="3" t="s">
        <v>29</v>
      </c>
      <c r="P15" s="3" t="s">
        <v>151</v>
      </c>
      <c r="Q15" s="5" t="n">
        <v>6953</v>
      </c>
      <c r="R15" s="3" t="s">
        <v>152</v>
      </c>
      <c r="S15" s="3" t="s">
        <v>32</v>
      </c>
      <c r="T15" s="4"/>
    </row>
    <row r="16" customFormat="false" ht="34.5" hidden="false" customHeight="true" outlineLevel="0" collapsed="false">
      <c r="A16" s="3" t="n">
        <v>116</v>
      </c>
      <c r="B16" s="3" t="n">
        <v>6</v>
      </c>
      <c r="C16" s="4" t="n">
        <v>46325</v>
      </c>
      <c r="D16" s="3" t="s">
        <v>153</v>
      </c>
      <c r="E16" s="3" t="s">
        <v>44</v>
      </c>
      <c r="F16" s="3" t="s">
        <v>154</v>
      </c>
      <c r="G16" s="3" t="s">
        <v>155</v>
      </c>
      <c r="H16" s="3" t="s">
        <v>156</v>
      </c>
      <c r="I16" s="3" t="n">
        <f aca="false">LEN(H16)</f>
        <v>55</v>
      </c>
      <c r="J16" s="3" t="s">
        <v>157</v>
      </c>
      <c r="K16" s="3" t="n">
        <f aca="false">LEN(J16)</f>
        <v>145</v>
      </c>
      <c r="L16" s="3" t="s">
        <v>158</v>
      </c>
      <c r="M16" s="3" t="s">
        <v>159</v>
      </c>
      <c r="N16" s="3" t="s">
        <v>69</v>
      </c>
      <c r="O16" s="3" t="s">
        <v>29</v>
      </c>
      <c r="P16" s="3" t="s">
        <v>160</v>
      </c>
      <c r="Q16" s="5" t="n">
        <v>5990</v>
      </c>
      <c r="R16" s="3" t="s">
        <v>161</v>
      </c>
      <c r="S16" s="3" t="s">
        <v>32</v>
      </c>
      <c r="T16" s="4"/>
    </row>
    <row r="17" customFormat="false" ht="34.5" hidden="false" customHeight="true" outlineLevel="0" collapsed="false">
      <c r="A17" s="3" t="n">
        <v>117</v>
      </c>
      <c r="B17" s="3" t="n">
        <v>6</v>
      </c>
      <c r="C17" s="4" t="n">
        <v>46325</v>
      </c>
      <c r="D17" s="3" t="s">
        <v>162</v>
      </c>
      <c r="E17" s="3" t="s">
        <v>44</v>
      </c>
      <c r="F17" s="3" t="s">
        <v>163</v>
      </c>
      <c r="G17" s="3" t="s">
        <v>164</v>
      </c>
      <c r="H17" s="3" t="s">
        <v>165</v>
      </c>
      <c r="I17" s="3" t="n">
        <f aca="false">LEN(H17)</f>
        <v>54</v>
      </c>
      <c r="J17" s="3" t="s">
        <v>166</v>
      </c>
      <c r="K17" s="3" t="n">
        <f aca="false">LEN(J17)</f>
        <v>157</v>
      </c>
      <c r="L17" s="3" t="s">
        <v>167</v>
      </c>
      <c r="M17" s="3" t="s">
        <v>168</v>
      </c>
      <c r="N17" s="3" t="s">
        <v>69</v>
      </c>
      <c r="O17" s="3" t="s">
        <v>29</v>
      </c>
      <c r="P17" s="3" t="s">
        <v>169</v>
      </c>
      <c r="Q17" s="5" t="n">
        <v>5856</v>
      </c>
      <c r="R17" s="3" t="s">
        <v>170</v>
      </c>
      <c r="S17" s="3" t="s">
        <v>32</v>
      </c>
      <c r="T17" s="4"/>
    </row>
    <row r="18" customFormat="false" ht="34.5" hidden="false" customHeight="true" outlineLevel="0" collapsed="false">
      <c r="A18" s="3" t="n">
        <v>186</v>
      </c>
      <c r="B18" s="3" t="n">
        <v>6</v>
      </c>
      <c r="C18" s="4" t="n">
        <v>46325</v>
      </c>
      <c r="D18" s="3" t="s">
        <v>171</v>
      </c>
      <c r="E18" s="3" t="s">
        <v>172</v>
      </c>
      <c r="F18" s="3" t="s">
        <v>173</v>
      </c>
      <c r="G18" s="3" t="s">
        <v>173</v>
      </c>
      <c r="H18" s="3" t="s">
        <v>174</v>
      </c>
      <c r="I18" s="3" t="n">
        <f aca="false">LEN(H18)</f>
        <v>51</v>
      </c>
      <c r="J18" s="3" t="s">
        <v>175</v>
      </c>
      <c r="K18" s="3" t="n">
        <f aca="false">LEN(J18)</f>
        <v>155</v>
      </c>
      <c r="L18" s="3" t="s">
        <v>176</v>
      </c>
      <c r="M18" s="3" t="s">
        <v>177</v>
      </c>
      <c r="N18" s="3" t="s">
        <v>178</v>
      </c>
      <c r="O18" s="3" t="s">
        <v>179</v>
      </c>
      <c r="P18" s="3" t="s">
        <v>180</v>
      </c>
      <c r="Q18" s="5" t="n">
        <v>13779</v>
      </c>
      <c r="R18" s="3" t="s">
        <v>181</v>
      </c>
      <c r="S18" s="3" t="s">
        <v>32</v>
      </c>
      <c r="T18" s="4"/>
    </row>
    <row r="19" customFormat="false" ht="34.5" hidden="false" customHeight="true" outlineLevel="0" collapsed="false">
      <c r="A19" s="3" t="n">
        <v>187</v>
      </c>
      <c r="B19" s="3" t="n">
        <v>6</v>
      </c>
      <c r="C19" s="4" t="n">
        <v>46325</v>
      </c>
      <c r="D19" s="3" t="s">
        <v>182</v>
      </c>
      <c r="E19" s="3" t="s">
        <v>172</v>
      </c>
      <c r="F19" s="3" t="s">
        <v>183</v>
      </c>
      <c r="G19" s="3" t="s">
        <v>183</v>
      </c>
      <c r="H19" s="3" t="s">
        <v>184</v>
      </c>
      <c r="I19" s="3" t="n">
        <f aca="false">LEN(H19)</f>
        <v>56</v>
      </c>
      <c r="J19" s="3" t="s">
        <v>185</v>
      </c>
      <c r="K19" s="3" t="n">
        <f aca="false">LEN(J19)</f>
        <v>153</v>
      </c>
      <c r="L19" s="3" t="s">
        <v>186</v>
      </c>
      <c r="M19" s="3" t="s">
        <v>187</v>
      </c>
      <c r="N19" s="3" t="s">
        <v>178</v>
      </c>
      <c r="O19" s="3" t="s">
        <v>179</v>
      </c>
      <c r="P19" s="3" t="s">
        <v>188</v>
      </c>
      <c r="Q19" s="5" t="n">
        <v>9893</v>
      </c>
      <c r="R19" s="3" t="s">
        <v>189</v>
      </c>
      <c r="S19" s="3" t="s">
        <v>32</v>
      </c>
      <c r="T19" s="4"/>
    </row>
    <row r="20" customFormat="false" ht="34.5" hidden="false" customHeight="true" outlineLevel="0" collapsed="false">
      <c r="A20" s="3" t="n">
        <v>188</v>
      </c>
      <c r="B20" s="3" t="n">
        <v>6</v>
      </c>
      <c r="C20" s="4" t="n">
        <v>46325</v>
      </c>
      <c r="D20" s="3" t="s">
        <v>190</v>
      </c>
      <c r="E20" s="3" t="s">
        <v>172</v>
      </c>
      <c r="F20" s="3" t="s">
        <v>191</v>
      </c>
      <c r="G20" s="3" t="s">
        <v>191</v>
      </c>
      <c r="H20" s="3" t="s">
        <v>192</v>
      </c>
      <c r="I20" s="3" t="n">
        <f aca="false">LEN(H20)</f>
        <v>56</v>
      </c>
      <c r="J20" s="3" t="s">
        <v>193</v>
      </c>
      <c r="K20" s="3" t="n">
        <f aca="false">LEN(J20)</f>
        <v>148</v>
      </c>
      <c r="L20" s="3" t="s">
        <v>194</v>
      </c>
      <c r="M20" s="3" t="s">
        <v>195</v>
      </c>
      <c r="N20" s="3" t="s">
        <v>178</v>
      </c>
      <c r="O20" s="3" t="s">
        <v>179</v>
      </c>
      <c r="P20" s="3" t="s">
        <v>196</v>
      </c>
      <c r="Q20" s="5" t="n">
        <v>12922</v>
      </c>
      <c r="R20" s="3" t="s">
        <v>197</v>
      </c>
      <c r="S20" s="3" t="s">
        <v>32</v>
      </c>
      <c r="T20" s="4"/>
    </row>
    <row r="21" customFormat="false" ht="34.5" hidden="false" customHeight="true" outlineLevel="0" collapsed="false">
      <c r="A21" s="3" t="n">
        <v>198</v>
      </c>
      <c r="B21" s="3" t="n">
        <v>6</v>
      </c>
      <c r="C21" s="4" t="n">
        <v>46325</v>
      </c>
      <c r="D21" s="3" t="s">
        <v>198</v>
      </c>
      <c r="E21" s="3" t="s">
        <v>199</v>
      </c>
      <c r="F21" s="3" t="s">
        <v>200</v>
      </c>
      <c r="G21" s="3" t="s">
        <v>200</v>
      </c>
      <c r="H21" s="3" t="s">
        <v>201</v>
      </c>
      <c r="I21" s="3" t="n">
        <f aca="false">LEN(H21)</f>
        <v>60</v>
      </c>
      <c r="J21" s="3" t="s">
        <v>202</v>
      </c>
      <c r="K21" s="3" t="n">
        <f aca="false">LEN(J21)</f>
        <v>149</v>
      </c>
      <c r="L21" s="3" t="s">
        <v>203</v>
      </c>
      <c r="M21" s="3" t="s">
        <v>204</v>
      </c>
      <c r="N21" s="3" t="s">
        <v>178</v>
      </c>
      <c r="O21" s="3" t="s">
        <v>179</v>
      </c>
      <c r="P21" s="3" t="s">
        <v>205</v>
      </c>
      <c r="Q21" s="5" t="n">
        <v>8013</v>
      </c>
      <c r="R21" s="3" t="s">
        <v>206</v>
      </c>
      <c r="S21" s="3" t="s">
        <v>32</v>
      </c>
      <c r="T21" s="4"/>
    </row>
    <row r="22" customFormat="false" ht="34.5" hidden="false" customHeight="true" outlineLevel="0" collapsed="false">
      <c r="A22" s="3" t="n">
        <v>118</v>
      </c>
      <c r="B22" s="3" t="n">
        <v>7</v>
      </c>
      <c r="C22" s="4" t="n">
        <v>46326</v>
      </c>
      <c r="D22" s="3" t="s">
        <v>207</v>
      </c>
      <c r="E22" s="3" t="s">
        <v>44</v>
      </c>
      <c r="F22" s="3" t="s">
        <v>208</v>
      </c>
      <c r="G22" s="3" t="s">
        <v>209</v>
      </c>
      <c r="H22" s="3" t="s">
        <v>210</v>
      </c>
      <c r="I22" s="3" t="n">
        <f aca="false">LEN(H22)</f>
        <v>55</v>
      </c>
      <c r="J22" s="3" t="s">
        <v>211</v>
      </c>
      <c r="K22" s="3" t="n">
        <f aca="false">LEN(J22)</f>
        <v>141</v>
      </c>
      <c r="L22" s="3" t="s">
        <v>212</v>
      </c>
      <c r="M22" s="3" t="s">
        <v>213</v>
      </c>
      <c r="N22" s="3" t="s">
        <v>69</v>
      </c>
      <c r="O22" s="3" t="s">
        <v>29</v>
      </c>
      <c r="P22" s="3" t="s">
        <v>214</v>
      </c>
      <c r="Q22" s="5" t="n">
        <v>5644</v>
      </c>
      <c r="R22" s="3" t="s">
        <v>215</v>
      </c>
      <c r="S22" s="3" t="s">
        <v>32</v>
      </c>
      <c r="T22" s="4"/>
    </row>
    <row r="23" customFormat="false" ht="34.5" hidden="false" customHeight="true" outlineLevel="0" collapsed="false">
      <c r="A23" s="3" t="n">
        <v>119</v>
      </c>
      <c r="B23" s="3" t="n">
        <v>7</v>
      </c>
      <c r="C23" s="4" t="n">
        <v>46326</v>
      </c>
      <c r="D23" s="3" t="s">
        <v>216</v>
      </c>
      <c r="E23" s="3" t="s">
        <v>44</v>
      </c>
      <c r="F23" s="3" t="s">
        <v>217</v>
      </c>
      <c r="G23" s="3" t="s">
        <v>218</v>
      </c>
      <c r="H23" s="3" t="s">
        <v>219</v>
      </c>
      <c r="I23" s="3" t="n">
        <f aca="false">LEN(H23)</f>
        <v>54</v>
      </c>
      <c r="J23" s="3" t="s">
        <v>220</v>
      </c>
      <c r="K23" s="3" t="n">
        <f aca="false">LEN(J23)</f>
        <v>152</v>
      </c>
      <c r="L23" s="3" t="s">
        <v>221</v>
      </c>
      <c r="M23" s="3" t="s">
        <v>222</v>
      </c>
      <c r="N23" s="3" t="s">
        <v>50</v>
      </c>
      <c r="O23" s="3" t="s">
        <v>29</v>
      </c>
      <c r="P23" s="3" t="s">
        <v>223</v>
      </c>
      <c r="Q23" s="5" t="n">
        <v>5253</v>
      </c>
      <c r="R23" s="3" t="s">
        <v>224</v>
      </c>
      <c r="S23" s="3" t="s">
        <v>32</v>
      </c>
      <c r="T23" s="4"/>
    </row>
    <row r="24" customFormat="false" ht="34.5" hidden="false" customHeight="true" outlineLevel="0" collapsed="false">
      <c r="A24" s="3" t="n">
        <v>120</v>
      </c>
      <c r="B24" s="3" t="n">
        <v>7</v>
      </c>
      <c r="C24" s="4" t="n">
        <v>46326</v>
      </c>
      <c r="D24" s="3" t="s">
        <v>225</v>
      </c>
      <c r="E24" s="3" t="s">
        <v>34</v>
      </c>
      <c r="F24" s="3" t="s">
        <v>226</v>
      </c>
      <c r="G24" s="3" t="s">
        <v>226</v>
      </c>
      <c r="H24" s="3" t="s">
        <v>227</v>
      </c>
      <c r="I24" s="3" t="n">
        <f aca="false">LEN(H24)</f>
        <v>54</v>
      </c>
      <c r="J24" s="3" t="s">
        <v>228</v>
      </c>
      <c r="K24" s="3" t="n">
        <f aca="false">LEN(J24)</f>
        <v>143</v>
      </c>
      <c r="L24" s="3" t="s">
        <v>229</v>
      </c>
      <c r="M24" s="3" t="s">
        <v>230</v>
      </c>
      <c r="N24" s="3" t="s">
        <v>40</v>
      </c>
      <c r="O24" s="3" t="s">
        <v>29</v>
      </c>
      <c r="P24" s="3" t="s">
        <v>231</v>
      </c>
      <c r="Q24" s="5" t="n">
        <v>5505</v>
      </c>
      <c r="R24" s="3" t="s">
        <v>232</v>
      </c>
      <c r="S24" s="3" t="s">
        <v>32</v>
      </c>
      <c r="T24" s="4"/>
    </row>
    <row r="25" customFormat="false" ht="34.5" hidden="false" customHeight="true" outlineLevel="0" collapsed="false">
      <c r="A25" s="3" t="n">
        <v>121</v>
      </c>
      <c r="B25" s="3" t="n">
        <v>7</v>
      </c>
      <c r="C25" s="4" t="n">
        <v>46326</v>
      </c>
      <c r="D25" s="3" t="s">
        <v>233</v>
      </c>
      <c r="E25" s="3" t="s">
        <v>44</v>
      </c>
      <c r="F25" s="3" t="s">
        <v>234</v>
      </c>
      <c r="G25" s="3" t="s">
        <v>235</v>
      </c>
      <c r="H25" s="3" t="s">
        <v>236</v>
      </c>
      <c r="I25" s="3" t="n">
        <f aca="false">LEN(H25)</f>
        <v>59</v>
      </c>
      <c r="J25" s="3" t="s">
        <v>237</v>
      </c>
      <c r="K25" s="3" t="n">
        <f aca="false">LEN(J25)</f>
        <v>155</v>
      </c>
      <c r="L25" s="3" t="s">
        <v>238</v>
      </c>
      <c r="M25" s="3" t="s">
        <v>239</v>
      </c>
      <c r="N25" s="3" t="s">
        <v>50</v>
      </c>
      <c r="O25" s="3" t="s">
        <v>29</v>
      </c>
      <c r="P25" s="3" t="s">
        <v>240</v>
      </c>
      <c r="Q25" s="5" t="n">
        <v>5983</v>
      </c>
      <c r="R25" s="3" t="s">
        <v>241</v>
      </c>
      <c r="S25" s="3" t="s">
        <v>32</v>
      </c>
      <c r="T25" s="4"/>
    </row>
    <row r="26" customFormat="false" ht="34.5" hidden="false" customHeight="true" outlineLevel="0" collapsed="false">
      <c r="A26" s="3" t="n">
        <v>122</v>
      </c>
      <c r="B26" s="3" t="n">
        <v>7</v>
      </c>
      <c r="C26" s="4" t="n">
        <v>46326</v>
      </c>
      <c r="D26" s="3" t="s">
        <v>242</v>
      </c>
      <c r="E26" s="3" t="s">
        <v>44</v>
      </c>
      <c r="F26" s="3" t="s">
        <v>243</v>
      </c>
      <c r="G26" s="3" t="s">
        <v>244</v>
      </c>
      <c r="H26" s="3" t="s">
        <v>245</v>
      </c>
      <c r="I26" s="3" t="n">
        <f aca="false">LEN(H26)</f>
        <v>56</v>
      </c>
      <c r="J26" s="3" t="s">
        <v>246</v>
      </c>
      <c r="K26" s="3" t="n">
        <f aca="false">LEN(J26)</f>
        <v>155</v>
      </c>
      <c r="L26" s="3" t="s">
        <v>247</v>
      </c>
      <c r="M26" s="3" t="s">
        <v>248</v>
      </c>
      <c r="N26" s="3" t="s">
        <v>50</v>
      </c>
      <c r="O26" s="3" t="s">
        <v>29</v>
      </c>
      <c r="P26" s="3" t="s">
        <v>249</v>
      </c>
      <c r="Q26" s="5" t="n">
        <v>5477</v>
      </c>
      <c r="R26" s="3" t="s">
        <v>250</v>
      </c>
      <c r="S26" s="3" t="s">
        <v>32</v>
      </c>
      <c r="T26" s="4"/>
    </row>
    <row r="27" customFormat="false" ht="34.5" hidden="false" customHeight="true" outlineLevel="0" collapsed="false">
      <c r="A27" s="3" t="n">
        <v>123</v>
      </c>
      <c r="B27" s="3" t="n">
        <v>7</v>
      </c>
      <c r="C27" s="4" t="n">
        <v>46326</v>
      </c>
      <c r="D27" s="3" t="s">
        <v>251</v>
      </c>
      <c r="E27" s="3" t="s">
        <v>44</v>
      </c>
      <c r="F27" s="3" t="s">
        <v>252</v>
      </c>
      <c r="G27" s="3" t="s">
        <v>253</v>
      </c>
      <c r="H27" s="3" t="s">
        <v>254</v>
      </c>
      <c r="I27" s="3" t="n">
        <f aca="false">LEN(H27)</f>
        <v>55</v>
      </c>
      <c r="J27" s="3" t="s">
        <v>255</v>
      </c>
      <c r="K27" s="3" t="n">
        <f aca="false">LEN(J27)</f>
        <v>148</v>
      </c>
      <c r="L27" s="3" t="s">
        <v>256</v>
      </c>
      <c r="M27" s="3" t="s">
        <v>257</v>
      </c>
      <c r="N27" s="3" t="s">
        <v>50</v>
      </c>
      <c r="O27" s="3" t="s">
        <v>29</v>
      </c>
      <c r="P27" s="3" t="s">
        <v>258</v>
      </c>
      <c r="Q27" s="5" t="n">
        <v>5389</v>
      </c>
      <c r="R27" s="3" t="s">
        <v>259</v>
      </c>
      <c r="S27" s="3" t="s">
        <v>32</v>
      </c>
      <c r="T27" s="4"/>
    </row>
    <row r="28" customFormat="false" ht="34.5" hidden="false" customHeight="true" outlineLevel="0" collapsed="false">
      <c r="A28" s="3" t="n">
        <v>124</v>
      </c>
      <c r="B28" s="3" t="n">
        <v>7</v>
      </c>
      <c r="C28" s="4" t="n">
        <v>46326</v>
      </c>
      <c r="D28" s="3" t="s">
        <v>260</v>
      </c>
      <c r="E28" s="3" t="s">
        <v>44</v>
      </c>
      <c r="F28" s="3" t="s">
        <v>261</v>
      </c>
      <c r="G28" s="3" t="s">
        <v>262</v>
      </c>
      <c r="H28" s="3" t="s">
        <v>263</v>
      </c>
      <c r="I28" s="3" t="n">
        <f aca="false">LEN(H28)</f>
        <v>52</v>
      </c>
      <c r="J28" s="3" t="s">
        <v>264</v>
      </c>
      <c r="K28" s="3" t="n">
        <f aca="false">LEN(J28)</f>
        <v>153</v>
      </c>
      <c r="L28" s="3" t="s">
        <v>265</v>
      </c>
      <c r="M28" s="3" t="s">
        <v>266</v>
      </c>
      <c r="N28" s="3" t="s">
        <v>50</v>
      </c>
      <c r="O28" s="3" t="s">
        <v>29</v>
      </c>
      <c r="P28" s="3" t="s">
        <v>267</v>
      </c>
      <c r="Q28" s="5" t="n">
        <v>5074</v>
      </c>
      <c r="R28" s="3" t="s">
        <v>268</v>
      </c>
      <c r="S28" s="3" t="s">
        <v>32</v>
      </c>
      <c r="T28" s="4"/>
    </row>
    <row r="29" customFormat="false" ht="34.5" hidden="false" customHeight="true" outlineLevel="0" collapsed="false">
      <c r="A29" s="3" t="n">
        <v>125</v>
      </c>
      <c r="B29" s="3" t="n">
        <v>7</v>
      </c>
      <c r="C29" s="4" t="n">
        <v>46326</v>
      </c>
      <c r="D29" s="3" t="s">
        <v>269</v>
      </c>
      <c r="E29" s="3" t="s">
        <v>44</v>
      </c>
      <c r="F29" s="3" t="s">
        <v>270</v>
      </c>
      <c r="G29" s="3" t="s">
        <v>270</v>
      </c>
      <c r="H29" s="3" t="s">
        <v>271</v>
      </c>
      <c r="I29" s="3" t="n">
        <f aca="false">LEN(H29)</f>
        <v>55</v>
      </c>
      <c r="J29" s="3" t="s">
        <v>272</v>
      </c>
      <c r="K29" s="3" t="n">
        <f aca="false">LEN(J29)</f>
        <v>152</v>
      </c>
      <c r="L29" s="3" t="s">
        <v>273</v>
      </c>
      <c r="M29" s="3" t="s">
        <v>274</v>
      </c>
      <c r="N29" s="3" t="s">
        <v>50</v>
      </c>
      <c r="O29" s="3" t="s">
        <v>29</v>
      </c>
      <c r="P29" s="3" t="s">
        <v>275</v>
      </c>
      <c r="Q29" s="5" t="n">
        <v>5911</v>
      </c>
      <c r="R29" s="3" t="s">
        <v>276</v>
      </c>
      <c r="S29" s="3" t="s">
        <v>32</v>
      </c>
      <c r="T29" s="4"/>
    </row>
    <row r="30" customFormat="false" ht="34.5" hidden="false" customHeight="true" outlineLevel="0" collapsed="false">
      <c r="A30" s="3" t="n">
        <v>126</v>
      </c>
      <c r="B30" s="3" t="n">
        <v>7</v>
      </c>
      <c r="C30" s="4" t="n">
        <v>46326</v>
      </c>
      <c r="D30" s="3" t="s">
        <v>277</v>
      </c>
      <c r="E30" s="3" t="s">
        <v>44</v>
      </c>
      <c r="F30" s="3" t="s">
        <v>278</v>
      </c>
      <c r="G30" s="3" t="s">
        <v>279</v>
      </c>
      <c r="H30" s="3" t="s">
        <v>280</v>
      </c>
      <c r="I30" s="3" t="n">
        <f aca="false">LEN(H30)</f>
        <v>60</v>
      </c>
      <c r="J30" s="3" t="s">
        <v>281</v>
      </c>
      <c r="K30" s="3" t="n">
        <f aca="false">LEN(J30)</f>
        <v>149</v>
      </c>
      <c r="L30" s="3" t="s">
        <v>282</v>
      </c>
      <c r="M30" s="3" t="s">
        <v>283</v>
      </c>
      <c r="N30" s="3" t="s">
        <v>50</v>
      </c>
      <c r="O30" s="3" t="s">
        <v>29</v>
      </c>
      <c r="P30" s="3" t="s">
        <v>284</v>
      </c>
      <c r="Q30" s="5" t="n">
        <v>6062</v>
      </c>
      <c r="R30" s="3" t="s">
        <v>285</v>
      </c>
      <c r="S30" s="3" t="s">
        <v>32</v>
      </c>
      <c r="T30" s="4"/>
    </row>
    <row r="31" customFormat="false" ht="34.5" hidden="false" customHeight="true" outlineLevel="0" collapsed="false">
      <c r="A31" s="3" t="n">
        <v>127</v>
      </c>
      <c r="B31" s="3" t="n">
        <v>7</v>
      </c>
      <c r="C31" s="4" t="n">
        <v>46326</v>
      </c>
      <c r="D31" s="3" t="s">
        <v>286</v>
      </c>
      <c r="E31" s="3" t="s">
        <v>44</v>
      </c>
      <c r="F31" s="3" t="s">
        <v>287</v>
      </c>
      <c r="G31" s="3" t="s">
        <v>287</v>
      </c>
      <c r="H31" s="3" t="s">
        <v>288</v>
      </c>
      <c r="I31" s="3" t="n">
        <f aca="false">LEN(H31)</f>
        <v>51</v>
      </c>
      <c r="J31" s="3" t="s">
        <v>289</v>
      </c>
      <c r="K31" s="3" t="n">
        <f aca="false">LEN(J31)</f>
        <v>150</v>
      </c>
      <c r="L31" s="3" t="s">
        <v>290</v>
      </c>
      <c r="M31" s="3" t="s">
        <v>291</v>
      </c>
      <c r="N31" s="3" t="s">
        <v>50</v>
      </c>
      <c r="O31" s="3" t="s">
        <v>29</v>
      </c>
      <c r="P31" s="3" t="s">
        <v>292</v>
      </c>
      <c r="Q31" s="5" t="n">
        <v>6210</v>
      </c>
      <c r="R31" s="3" t="s">
        <v>293</v>
      </c>
      <c r="S31" s="3" t="s">
        <v>32</v>
      </c>
      <c r="T31" s="4"/>
    </row>
    <row r="32" customFormat="false" ht="34.5" hidden="false" customHeight="true" outlineLevel="0" collapsed="false">
      <c r="A32" s="3" t="n">
        <v>128</v>
      </c>
      <c r="B32" s="3" t="n">
        <v>7</v>
      </c>
      <c r="C32" s="4" t="n">
        <v>46326</v>
      </c>
      <c r="D32" s="3" t="s">
        <v>294</v>
      </c>
      <c r="E32" s="3" t="s">
        <v>44</v>
      </c>
      <c r="F32" s="3" t="s">
        <v>295</v>
      </c>
      <c r="G32" s="3" t="s">
        <v>295</v>
      </c>
      <c r="H32" s="3" t="s">
        <v>296</v>
      </c>
      <c r="I32" s="3" t="n">
        <f aca="false">LEN(H32)</f>
        <v>59</v>
      </c>
      <c r="J32" s="3" t="s">
        <v>297</v>
      </c>
      <c r="K32" s="3" t="n">
        <f aca="false">LEN(J32)</f>
        <v>151</v>
      </c>
      <c r="L32" s="3" t="s">
        <v>298</v>
      </c>
      <c r="M32" s="3" t="s">
        <v>299</v>
      </c>
      <c r="N32" s="3" t="s">
        <v>50</v>
      </c>
      <c r="O32" s="3" t="s">
        <v>29</v>
      </c>
      <c r="P32" s="3" t="s">
        <v>300</v>
      </c>
      <c r="Q32" s="5" t="n">
        <v>5177</v>
      </c>
      <c r="R32" s="3" t="s">
        <v>301</v>
      </c>
      <c r="S32" s="3" t="s">
        <v>32</v>
      </c>
      <c r="T32" s="4"/>
    </row>
    <row r="33" customFormat="false" ht="34.5" hidden="false" customHeight="true" outlineLevel="0" collapsed="false">
      <c r="A33" s="3" t="n">
        <v>129</v>
      </c>
      <c r="B33" s="3" t="n">
        <v>7</v>
      </c>
      <c r="C33" s="4" t="n">
        <v>46326</v>
      </c>
      <c r="D33" s="3" t="s">
        <v>302</v>
      </c>
      <c r="E33" s="3" t="s">
        <v>44</v>
      </c>
      <c r="F33" s="3" t="s">
        <v>303</v>
      </c>
      <c r="G33" s="3" t="s">
        <v>304</v>
      </c>
      <c r="H33" s="3" t="s">
        <v>305</v>
      </c>
      <c r="I33" s="3" t="n">
        <f aca="false">LEN(H33)</f>
        <v>57</v>
      </c>
      <c r="J33" s="3" t="s">
        <v>306</v>
      </c>
      <c r="K33" s="3" t="n">
        <f aca="false">LEN(J33)</f>
        <v>147</v>
      </c>
      <c r="L33" s="3" t="s">
        <v>307</v>
      </c>
      <c r="M33" s="3" t="s">
        <v>308</v>
      </c>
      <c r="N33" s="3" t="s">
        <v>50</v>
      </c>
      <c r="O33" s="3" t="s">
        <v>29</v>
      </c>
      <c r="P33" s="3" t="s">
        <v>309</v>
      </c>
      <c r="Q33" s="5" t="n">
        <v>7058</v>
      </c>
      <c r="R33" s="3" t="s">
        <v>310</v>
      </c>
      <c r="S33" s="3" t="s">
        <v>32</v>
      </c>
      <c r="T33" s="4"/>
    </row>
    <row r="34" customFormat="false" ht="34.5" hidden="false" customHeight="true" outlineLevel="0" collapsed="false">
      <c r="A34" s="3" t="n">
        <v>130</v>
      </c>
      <c r="B34" s="3" t="n">
        <v>7</v>
      </c>
      <c r="C34" s="4" t="n">
        <v>46326</v>
      </c>
      <c r="D34" s="3" t="s">
        <v>311</v>
      </c>
      <c r="E34" s="3" t="s">
        <v>312</v>
      </c>
      <c r="F34" s="3" t="s">
        <v>313</v>
      </c>
      <c r="G34" s="3" t="s">
        <v>314</v>
      </c>
      <c r="H34" s="3" t="s">
        <v>315</v>
      </c>
      <c r="I34" s="3" t="n">
        <f aca="false">LEN(H34)</f>
        <v>52</v>
      </c>
      <c r="J34" s="3" t="s">
        <v>316</v>
      </c>
      <c r="K34" s="3" t="n">
        <f aca="false">LEN(J34)</f>
        <v>153</v>
      </c>
      <c r="L34" s="3" t="s">
        <v>317</v>
      </c>
      <c r="M34" s="3" t="s">
        <v>318</v>
      </c>
      <c r="N34" s="3" t="s">
        <v>319</v>
      </c>
      <c r="O34" s="3" t="s">
        <v>179</v>
      </c>
      <c r="P34" s="3" t="s">
        <v>320</v>
      </c>
      <c r="Q34" s="5" t="n">
        <v>6574</v>
      </c>
      <c r="R34" s="3" t="s">
        <v>321</v>
      </c>
      <c r="S34" s="3" t="s">
        <v>32</v>
      </c>
      <c r="T34" s="4"/>
    </row>
    <row r="35" customFormat="false" ht="34.5" hidden="false" customHeight="true" outlineLevel="0" collapsed="false">
      <c r="A35" s="3" t="n">
        <v>131</v>
      </c>
      <c r="B35" s="3" t="n">
        <v>7</v>
      </c>
      <c r="C35" s="4" t="n">
        <v>46326</v>
      </c>
      <c r="D35" s="3" t="s">
        <v>322</v>
      </c>
      <c r="E35" s="3" t="s">
        <v>312</v>
      </c>
      <c r="F35" s="3" t="s">
        <v>323</v>
      </c>
      <c r="G35" s="3" t="s">
        <v>324</v>
      </c>
      <c r="H35" s="3" t="s">
        <v>325</v>
      </c>
      <c r="I35" s="3" t="n">
        <f aca="false">LEN(H35)</f>
        <v>55</v>
      </c>
      <c r="J35" s="3" t="s">
        <v>326</v>
      </c>
      <c r="K35" s="3" t="n">
        <f aca="false">LEN(J35)</f>
        <v>155</v>
      </c>
      <c r="L35" s="3" t="s">
        <v>327</v>
      </c>
      <c r="M35" s="3" t="s">
        <v>328</v>
      </c>
      <c r="N35" s="3" t="s">
        <v>319</v>
      </c>
      <c r="O35" s="3" t="s">
        <v>179</v>
      </c>
      <c r="P35" s="3" t="s">
        <v>329</v>
      </c>
      <c r="Q35" s="5" t="n">
        <v>6482</v>
      </c>
      <c r="R35" s="3" t="s">
        <v>330</v>
      </c>
      <c r="S35" s="3" t="s">
        <v>32</v>
      </c>
      <c r="T35" s="4"/>
    </row>
    <row r="36" customFormat="false" ht="34.5" hidden="false" customHeight="true" outlineLevel="0" collapsed="false">
      <c r="A36" s="3" t="n">
        <v>132</v>
      </c>
      <c r="B36" s="3" t="n">
        <v>7</v>
      </c>
      <c r="C36" s="4" t="n">
        <v>46326</v>
      </c>
      <c r="D36" s="3" t="s">
        <v>331</v>
      </c>
      <c r="E36" s="3" t="s">
        <v>312</v>
      </c>
      <c r="F36" s="3" t="s">
        <v>332</v>
      </c>
      <c r="G36" s="3" t="s">
        <v>333</v>
      </c>
      <c r="H36" s="3" t="s">
        <v>334</v>
      </c>
      <c r="I36" s="3" t="n">
        <f aca="false">LEN(H36)</f>
        <v>52</v>
      </c>
      <c r="J36" s="3" t="s">
        <v>335</v>
      </c>
      <c r="K36" s="3" t="n">
        <f aca="false">LEN(J36)</f>
        <v>152</v>
      </c>
      <c r="L36" s="3" t="s">
        <v>336</v>
      </c>
      <c r="M36" s="3" t="s">
        <v>337</v>
      </c>
      <c r="N36" s="3" t="s">
        <v>319</v>
      </c>
      <c r="O36" s="3" t="s">
        <v>179</v>
      </c>
      <c r="P36" s="3" t="s">
        <v>338</v>
      </c>
      <c r="Q36" s="5" t="n">
        <v>6672</v>
      </c>
      <c r="R36" s="3" t="s">
        <v>339</v>
      </c>
      <c r="S36" s="3" t="s">
        <v>32</v>
      </c>
      <c r="T36" s="4"/>
    </row>
    <row r="37" customFormat="false" ht="34.5" hidden="false" customHeight="true" outlineLevel="0" collapsed="false">
      <c r="A37" s="3" t="n">
        <v>133</v>
      </c>
      <c r="B37" s="3" t="n">
        <v>7</v>
      </c>
      <c r="C37" s="4" t="n">
        <v>46326</v>
      </c>
      <c r="D37" s="3" t="s">
        <v>340</v>
      </c>
      <c r="E37" s="3" t="s">
        <v>312</v>
      </c>
      <c r="F37" s="3" t="s">
        <v>341</v>
      </c>
      <c r="G37" s="3" t="s">
        <v>342</v>
      </c>
      <c r="H37" s="3" t="s">
        <v>343</v>
      </c>
      <c r="I37" s="3" t="n">
        <f aca="false">LEN(H37)</f>
        <v>60</v>
      </c>
      <c r="J37" s="3" t="s">
        <v>344</v>
      </c>
      <c r="K37" s="3" t="n">
        <f aca="false">LEN(J37)</f>
        <v>150</v>
      </c>
      <c r="L37" s="3" t="s">
        <v>345</v>
      </c>
      <c r="M37" s="3" t="s">
        <v>346</v>
      </c>
      <c r="N37" s="3" t="s">
        <v>319</v>
      </c>
      <c r="O37" s="3" t="s">
        <v>179</v>
      </c>
      <c r="P37" s="3" t="s">
        <v>347</v>
      </c>
      <c r="Q37" s="5" t="n">
        <v>7622</v>
      </c>
      <c r="R37" s="3" t="s">
        <v>348</v>
      </c>
      <c r="S37" s="3" t="s">
        <v>32</v>
      </c>
      <c r="T37" s="4"/>
    </row>
    <row r="38" customFormat="false" ht="34.5" hidden="false" customHeight="true" outlineLevel="0" collapsed="false">
      <c r="A38" s="3" t="n">
        <v>134</v>
      </c>
      <c r="B38" s="3" t="n">
        <v>7</v>
      </c>
      <c r="C38" s="4" t="n">
        <v>46326</v>
      </c>
      <c r="D38" s="3" t="s">
        <v>349</v>
      </c>
      <c r="E38" s="3" t="s">
        <v>312</v>
      </c>
      <c r="F38" s="3" t="s">
        <v>350</v>
      </c>
      <c r="G38" s="3" t="s">
        <v>350</v>
      </c>
      <c r="H38" s="3" t="s">
        <v>351</v>
      </c>
      <c r="I38" s="3" t="n">
        <f aca="false">LEN(H38)</f>
        <v>58</v>
      </c>
      <c r="J38" s="3" t="s">
        <v>352</v>
      </c>
      <c r="K38" s="3" t="n">
        <f aca="false">LEN(J38)</f>
        <v>146</v>
      </c>
      <c r="L38" s="3" t="s">
        <v>353</v>
      </c>
      <c r="M38" s="3" t="s">
        <v>354</v>
      </c>
      <c r="N38" s="3" t="s">
        <v>319</v>
      </c>
      <c r="O38" s="3" t="s">
        <v>179</v>
      </c>
      <c r="P38" s="3" t="s">
        <v>347</v>
      </c>
      <c r="Q38" s="5" t="n">
        <v>6954</v>
      </c>
      <c r="R38" s="3" t="s">
        <v>355</v>
      </c>
      <c r="S38" s="3" t="s">
        <v>32</v>
      </c>
      <c r="T38" s="4"/>
    </row>
    <row r="39" customFormat="false" ht="34.5" hidden="false" customHeight="true" outlineLevel="0" collapsed="false">
      <c r="A39" s="3" t="n">
        <v>189</v>
      </c>
      <c r="B39" s="3" t="n">
        <v>7</v>
      </c>
      <c r="C39" s="4" t="n">
        <v>46326</v>
      </c>
      <c r="D39" s="3" t="s">
        <v>356</v>
      </c>
      <c r="E39" s="3" t="s">
        <v>172</v>
      </c>
      <c r="F39" s="3" t="s">
        <v>357</v>
      </c>
      <c r="G39" s="3" t="s">
        <v>357</v>
      </c>
      <c r="H39" s="3" t="s">
        <v>358</v>
      </c>
      <c r="I39" s="3" t="n">
        <f aca="false">LEN(H39)</f>
        <v>52</v>
      </c>
      <c r="J39" s="3" t="s">
        <v>359</v>
      </c>
      <c r="K39" s="3" t="n">
        <f aca="false">LEN(J39)</f>
        <v>154</v>
      </c>
      <c r="L39" s="3" t="s">
        <v>360</v>
      </c>
      <c r="M39" s="3" t="s">
        <v>361</v>
      </c>
      <c r="N39" s="3" t="s">
        <v>362</v>
      </c>
      <c r="O39" s="3" t="s">
        <v>179</v>
      </c>
      <c r="P39" s="3" t="s">
        <v>363</v>
      </c>
      <c r="Q39" s="5" t="n">
        <v>11892</v>
      </c>
      <c r="R39" s="3" t="s">
        <v>364</v>
      </c>
      <c r="S39" s="3" t="s">
        <v>32</v>
      </c>
      <c r="T39" s="4"/>
    </row>
    <row r="40" customFormat="false" ht="34.5" hidden="false" customHeight="true" outlineLevel="0" collapsed="false">
      <c r="A40" s="3" t="n">
        <v>190</v>
      </c>
      <c r="B40" s="3" t="n">
        <v>7</v>
      </c>
      <c r="C40" s="4" t="n">
        <v>46326</v>
      </c>
      <c r="D40" s="3" t="s">
        <v>365</v>
      </c>
      <c r="E40" s="3" t="s">
        <v>172</v>
      </c>
      <c r="F40" s="3" t="s">
        <v>366</v>
      </c>
      <c r="G40" s="3" t="s">
        <v>366</v>
      </c>
      <c r="H40" s="3" t="s">
        <v>367</v>
      </c>
      <c r="I40" s="3" t="n">
        <f aca="false">LEN(H40)</f>
        <v>57</v>
      </c>
      <c r="J40" s="3" t="s">
        <v>368</v>
      </c>
      <c r="K40" s="3" t="n">
        <f aca="false">LEN(J40)</f>
        <v>155</v>
      </c>
      <c r="L40" s="3" t="s">
        <v>369</v>
      </c>
      <c r="M40" s="3" t="s">
        <v>370</v>
      </c>
      <c r="N40" s="3" t="s">
        <v>362</v>
      </c>
      <c r="O40" s="3" t="s">
        <v>179</v>
      </c>
      <c r="P40" s="3" t="s">
        <v>371</v>
      </c>
      <c r="Q40" s="5" t="n">
        <v>11227</v>
      </c>
      <c r="R40" s="3" t="s">
        <v>372</v>
      </c>
      <c r="S40" s="3" t="s">
        <v>32</v>
      </c>
      <c r="T40" s="4"/>
    </row>
    <row r="41" customFormat="false" ht="34.5" hidden="false" customHeight="true" outlineLevel="0" collapsed="false">
      <c r="A41" s="3" t="n">
        <v>199</v>
      </c>
      <c r="B41" s="3" t="n">
        <v>7</v>
      </c>
      <c r="C41" s="4" t="n">
        <v>46326</v>
      </c>
      <c r="D41" s="3" t="s">
        <v>373</v>
      </c>
      <c r="E41" s="3" t="s">
        <v>199</v>
      </c>
      <c r="F41" s="3" t="s">
        <v>374</v>
      </c>
      <c r="G41" s="3" t="s">
        <v>374</v>
      </c>
      <c r="H41" s="3" t="s">
        <v>375</v>
      </c>
      <c r="I41" s="3" t="n">
        <f aca="false">LEN(H41)</f>
        <v>54</v>
      </c>
      <c r="J41" s="3" t="s">
        <v>376</v>
      </c>
      <c r="K41" s="3" t="n">
        <f aca="false">LEN(J41)</f>
        <v>150</v>
      </c>
      <c r="L41" s="3" t="s">
        <v>377</v>
      </c>
      <c r="M41" s="3" t="s">
        <v>378</v>
      </c>
      <c r="N41" s="3" t="s">
        <v>178</v>
      </c>
      <c r="O41" s="3" t="s">
        <v>179</v>
      </c>
      <c r="P41" s="3" t="s">
        <v>379</v>
      </c>
      <c r="Q41" s="5" t="n">
        <v>9179</v>
      </c>
      <c r="R41" s="3" t="s">
        <v>380</v>
      </c>
      <c r="S41" s="3" t="s">
        <v>32</v>
      </c>
      <c r="T41" s="4"/>
    </row>
    <row r="42" customFormat="false" ht="34.5" hidden="false" customHeight="true" outlineLevel="0" collapsed="false">
      <c r="A42" s="3" t="n">
        <v>135</v>
      </c>
      <c r="B42" s="3" t="n">
        <v>8</v>
      </c>
      <c r="C42" s="4" t="n">
        <v>46327</v>
      </c>
      <c r="D42" s="3" t="s">
        <v>381</v>
      </c>
      <c r="E42" s="3" t="s">
        <v>312</v>
      </c>
      <c r="F42" s="3" t="s">
        <v>382</v>
      </c>
      <c r="G42" s="3" t="s">
        <v>382</v>
      </c>
      <c r="H42" s="3" t="s">
        <v>383</v>
      </c>
      <c r="I42" s="3" t="n">
        <f aca="false">LEN(H42)</f>
        <v>60</v>
      </c>
      <c r="J42" s="3" t="s">
        <v>384</v>
      </c>
      <c r="K42" s="3" t="n">
        <f aca="false">LEN(J42)</f>
        <v>153</v>
      </c>
      <c r="L42" s="3" t="s">
        <v>385</v>
      </c>
      <c r="M42" s="3" t="s">
        <v>386</v>
      </c>
      <c r="N42" s="3" t="s">
        <v>319</v>
      </c>
      <c r="O42" s="3" t="s">
        <v>179</v>
      </c>
      <c r="P42" s="3" t="s">
        <v>387</v>
      </c>
      <c r="Q42" s="5" t="n">
        <v>7138</v>
      </c>
      <c r="R42" s="3" t="s">
        <v>388</v>
      </c>
      <c r="S42" s="3" t="s">
        <v>32</v>
      </c>
      <c r="T42" s="4"/>
    </row>
    <row r="43" customFormat="false" ht="34.5" hidden="false" customHeight="true" outlineLevel="0" collapsed="false">
      <c r="A43" s="3" t="n">
        <v>136</v>
      </c>
      <c r="B43" s="3" t="n">
        <v>8</v>
      </c>
      <c r="C43" s="4" t="n">
        <v>46327</v>
      </c>
      <c r="D43" s="3" t="s">
        <v>389</v>
      </c>
      <c r="E43" s="3" t="s">
        <v>312</v>
      </c>
      <c r="F43" s="3" t="s">
        <v>390</v>
      </c>
      <c r="G43" s="3" t="s">
        <v>391</v>
      </c>
      <c r="H43" s="3" t="s">
        <v>392</v>
      </c>
      <c r="I43" s="3" t="n">
        <f aca="false">LEN(H43)</f>
        <v>54</v>
      </c>
      <c r="J43" s="3" t="s">
        <v>393</v>
      </c>
      <c r="K43" s="3" t="n">
        <f aca="false">LEN(J43)</f>
        <v>151</v>
      </c>
      <c r="L43" s="3" t="s">
        <v>394</v>
      </c>
      <c r="M43" s="3" t="s">
        <v>395</v>
      </c>
      <c r="N43" s="3" t="s">
        <v>319</v>
      </c>
      <c r="O43" s="3" t="s">
        <v>179</v>
      </c>
      <c r="P43" s="3" t="s">
        <v>396</v>
      </c>
      <c r="Q43" s="5" t="n">
        <v>7722</v>
      </c>
      <c r="R43" s="3" t="s">
        <v>397</v>
      </c>
      <c r="S43" s="3" t="s">
        <v>32</v>
      </c>
      <c r="T43" s="4"/>
    </row>
    <row r="44" customFormat="false" ht="34.5" hidden="false" customHeight="true" outlineLevel="0" collapsed="false">
      <c r="A44" s="3" t="n">
        <v>137</v>
      </c>
      <c r="B44" s="3" t="n">
        <v>8</v>
      </c>
      <c r="C44" s="4" t="n">
        <v>46327</v>
      </c>
      <c r="D44" s="3" t="s">
        <v>398</v>
      </c>
      <c r="E44" s="3" t="s">
        <v>312</v>
      </c>
      <c r="F44" s="3" t="s">
        <v>399</v>
      </c>
      <c r="G44" s="3" t="s">
        <v>400</v>
      </c>
      <c r="H44" s="3" t="s">
        <v>401</v>
      </c>
      <c r="I44" s="3" t="n">
        <f aca="false">LEN(H44)</f>
        <v>51</v>
      </c>
      <c r="J44" s="3" t="s">
        <v>402</v>
      </c>
      <c r="K44" s="3" t="n">
        <f aca="false">LEN(J44)</f>
        <v>142</v>
      </c>
      <c r="L44" s="3" t="s">
        <v>403</v>
      </c>
      <c r="M44" s="3" t="s">
        <v>404</v>
      </c>
      <c r="N44" s="3" t="s">
        <v>319</v>
      </c>
      <c r="O44" s="3" t="s">
        <v>179</v>
      </c>
      <c r="P44" s="3" t="s">
        <v>405</v>
      </c>
      <c r="Q44" s="5" t="n">
        <v>7088</v>
      </c>
      <c r="R44" s="3" t="s">
        <v>406</v>
      </c>
      <c r="S44" s="3" t="s">
        <v>32</v>
      </c>
      <c r="T44" s="4"/>
    </row>
    <row r="45" customFormat="false" ht="34.5" hidden="false" customHeight="true" outlineLevel="0" collapsed="false">
      <c r="A45" s="3" t="n">
        <v>138</v>
      </c>
      <c r="B45" s="3" t="n">
        <v>8</v>
      </c>
      <c r="C45" s="4" t="n">
        <v>46327</v>
      </c>
      <c r="D45" s="3" t="s">
        <v>407</v>
      </c>
      <c r="E45" s="3" t="s">
        <v>312</v>
      </c>
      <c r="F45" s="3" t="s">
        <v>408</v>
      </c>
      <c r="G45" s="3" t="s">
        <v>409</v>
      </c>
      <c r="H45" s="3" t="s">
        <v>410</v>
      </c>
      <c r="I45" s="3" t="n">
        <f aca="false">LEN(H45)</f>
        <v>50</v>
      </c>
      <c r="J45" s="3" t="s">
        <v>411</v>
      </c>
      <c r="K45" s="3" t="n">
        <f aca="false">LEN(J45)</f>
        <v>150</v>
      </c>
      <c r="L45" s="3" t="s">
        <v>412</v>
      </c>
      <c r="M45" s="3" t="s">
        <v>413</v>
      </c>
      <c r="N45" s="3" t="s">
        <v>319</v>
      </c>
      <c r="O45" s="3" t="s">
        <v>179</v>
      </c>
      <c r="P45" s="3" t="s">
        <v>414</v>
      </c>
      <c r="Q45" s="5" t="n">
        <v>6784</v>
      </c>
      <c r="R45" s="3" t="s">
        <v>415</v>
      </c>
      <c r="S45" s="3" t="s">
        <v>32</v>
      </c>
      <c r="T45" s="4"/>
    </row>
    <row r="46" customFormat="false" ht="34.5" hidden="false" customHeight="true" outlineLevel="0" collapsed="false">
      <c r="A46" s="3" t="n">
        <v>139</v>
      </c>
      <c r="B46" s="3" t="n">
        <v>8</v>
      </c>
      <c r="C46" s="4" t="n">
        <v>46327</v>
      </c>
      <c r="D46" s="3" t="s">
        <v>416</v>
      </c>
      <c r="E46" s="3" t="s">
        <v>312</v>
      </c>
      <c r="F46" s="3" t="s">
        <v>417</v>
      </c>
      <c r="G46" s="3" t="s">
        <v>418</v>
      </c>
      <c r="H46" s="3" t="s">
        <v>419</v>
      </c>
      <c r="I46" s="3" t="n">
        <f aca="false">LEN(H46)</f>
        <v>57</v>
      </c>
      <c r="J46" s="3" t="s">
        <v>420</v>
      </c>
      <c r="K46" s="3" t="n">
        <f aca="false">LEN(J46)</f>
        <v>154</v>
      </c>
      <c r="L46" s="3" t="s">
        <v>421</v>
      </c>
      <c r="M46" s="3" t="s">
        <v>422</v>
      </c>
      <c r="N46" s="3" t="s">
        <v>319</v>
      </c>
      <c r="O46" s="3" t="s">
        <v>179</v>
      </c>
      <c r="P46" s="3" t="s">
        <v>423</v>
      </c>
      <c r="Q46" s="5" t="n">
        <v>5679</v>
      </c>
      <c r="R46" s="3" t="s">
        <v>424</v>
      </c>
      <c r="S46" s="3" t="s">
        <v>32</v>
      </c>
      <c r="T46" s="4"/>
    </row>
    <row r="47" customFormat="false" ht="34.5" hidden="false" customHeight="true" outlineLevel="0" collapsed="false">
      <c r="A47" s="3" t="n">
        <v>140</v>
      </c>
      <c r="B47" s="3" t="n">
        <v>8</v>
      </c>
      <c r="C47" s="4" t="n">
        <v>46327</v>
      </c>
      <c r="D47" s="3" t="s">
        <v>425</v>
      </c>
      <c r="E47" s="3" t="s">
        <v>312</v>
      </c>
      <c r="F47" s="3" t="s">
        <v>426</v>
      </c>
      <c r="G47" s="3" t="s">
        <v>427</v>
      </c>
      <c r="H47" s="3" t="s">
        <v>428</v>
      </c>
      <c r="I47" s="3" t="n">
        <f aca="false">LEN(H47)</f>
        <v>58</v>
      </c>
      <c r="J47" s="3" t="s">
        <v>429</v>
      </c>
      <c r="K47" s="3" t="n">
        <f aca="false">LEN(J47)</f>
        <v>151</v>
      </c>
      <c r="L47" s="3" t="s">
        <v>430</v>
      </c>
      <c r="M47" s="3" t="s">
        <v>431</v>
      </c>
      <c r="N47" s="3" t="s">
        <v>319</v>
      </c>
      <c r="O47" s="3" t="s">
        <v>179</v>
      </c>
      <c r="P47" s="3" t="s">
        <v>432</v>
      </c>
      <c r="Q47" s="5" t="n">
        <v>7181</v>
      </c>
      <c r="R47" s="3" t="s">
        <v>433</v>
      </c>
      <c r="S47" s="3" t="s">
        <v>32</v>
      </c>
      <c r="T47" s="4"/>
    </row>
    <row r="48" customFormat="false" ht="34.5" hidden="false" customHeight="true" outlineLevel="0" collapsed="false">
      <c r="A48" s="3" t="n">
        <v>141</v>
      </c>
      <c r="B48" s="3" t="n">
        <v>8</v>
      </c>
      <c r="C48" s="4" t="n">
        <v>46327</v>
      </c>
      <c r="D48" s="3" t="s">
        <v>434</v>
      </c>
      <c r="E48" s="3" t="s">
        <v>312</v>
      </c>
      <c r="F48" s="3" t="s">
        <v>435</v>
      </c>
      <c r="G48" s="3" t="s">
        <v>435</v>
      </c>
      <c r="H48" s="3" t="s">
        <v>436</v>
      </c>
      <c r="I48" s="3" t="n">
        <f aca="false">LEN(H48)</f>
        <v>57</v>
      </c>
      <c r="J48" s="3" t="s">
        <v>437</v>
      </c>
      <c r="K48" s="3" t="n">
        <f aca="false">LEN(J48)</f>
        <v>148</v>
      </c>
      <c r="L48" s="3" t="s">
        <v>438</v>
      </c>
      <c r="M48" s="3" t="s">
        <v>439</v>
      </c>
      <c r="N48" s="3" t="s">
        <v>319</v>
      </c>
      <c r="O48" s="3" t="s">
        <v>179</v>
      </c>
      <c r="P48" s="3" t="s">
        <v>440</v>
      </c>
      <c r="Q48" s="5" t="n">
        <v>6929</v>
      </c>
      <c r="R48" s="3" t="s">
        <v>441</v>
      </c>
      <c r="S48" s="3" t="s">
        <v>32</v>
      </c>
      <c r="T48" s="4"/>
    </row>
    <row r="49" customFormat="false" ht="34.5" hidden="false" customHeight="true" outlineLevel="0" collapsed="false">
      <c r="A49" s="3" t="n">
        <v>142</v>
      </c>
      <c r="B49" s="3" t="n">
        <v>8</v>
      </c>
      <c r="C49" s="4" t="n">
        <v>46327</v>
      </c>
      <c r="D49" s="3" t="s">
        <v>442</v>
      </c>
      <c r="E49" s="3" t="s">
        <v>312</v>
      </c>
      <c r="F49" s="3" t="s">
        <v>443</v>
      </c>
      <c r="G49" s="3" t="s">
        <v>444</v>
      </c>
      <c r="H49" s="3" t="s">
        <v>445</v>
      </c>
      <c r="I49" s="3" t="n">
        <f aca="false">LEN(H49)</f>
        <v>55</v>
      </c>
      <c r="J49" s="3" t="s">
        <v>446</v>
      </c>
      <c r="K49" s="3" t="n">
        <f aca="false">LEN(J49)</f>
        <v>154</v>
      </c>
      <c r="L49" s="3" t="s">
        <v>447</v>
      </c>
      <c r="M49" s="3" t="s">
        <v>448</v>
      </c>
      <c r="N49" s="3" t="s">
        <v>319</v>
      </c>
      <c r="O49" s="3" t="s">
        <v>179</v>
      </c>
      <c r="P49" s="3" t="s">
        <v>449</v>
      </c>
      <c r="Q49" s="5" t="n">
        <v>7774</v>
      </c>
      <c r="R49" s="3" t="s">
        <v>450</v>
      </c>
      <c r="S49" s="3" t="s">
        <v>32</v>
      </c>
      <c r="T49" s="4"/>
    </row>
    <row r="50" customFormat="false" ht="34.5" hidden="false" customHeight="true" outlineLevel="0" collapsed="false">
      <c r="A50" s="3" t="n">
        <v>143</v>
      </c>
      <c r="B50" s="3" t="n">
        <v>8</v>
      </c>
      <c r="C50" s="4" t="n">
        <v>46327</v>
      </c>
      <c r="D50" s="3" t="s">
        <v>451</v>
      </c>
      <c r="E50" s="3" t="s">
        <v>312</v>
      </c>
      <c r="F50" s="3" t="s">
        <v>452</v>
      </c>
      <c r="G50" s="3" t="s">
        <v>453</v>
      </c>
      <c r="H50" s="3" t="s">
        <v>454</v>
      </c>
      <c r="I50" s="3" t="n">
        <f aca="false">LEN(H50)</f>
        <v>52</v>
      </c>
      <c r="J50" s="3" t="s">
        <v>455</v>
      </c>
      <c r="K50" s="3" t="n">
        <f aca="false">LEN(J50)</f>
        <v>154</v>
      </c>
      <c r="L50" s="3" t="s">
        <v>456</v>
      </c>
      <c r="M50" s="3" t="s">
        <v>457</v>
      </c>
      <c r="N50" s="3" t="s">
        <v>319</v>
      </c>
      <c r="O50" s="3" t="s">
        <v>179</v>
      </c>
      <c r="P50" s="3" t="s">
        <v>458</v>
      </c>
      <c r="Q50" s="5" t="n">
        <v>6800</v>
      </c>
      <c r="R50" s="3" t="s">
        <v>459</v>
      </c>
      <c r="S50" s="3" t="s">
        <v>32</v>
      </c>
      <c r="T50" s="4"/>
    </row>
    <row r="51" customFormat="false" ht="34.5" hidden="false" customHeight="true" outlineLevel="0" collapsed="false">
      <c r="A51" s="3" t="n">
        <v>144</v>
      </c>
      <c r="B51" s="3" t="n">
        <v>8</v>
      </c>
      <c r="C51" s="4" t="n">
        <v>46327</v>
      </c>
      <c r="D51" s="3" t="s">
        <v>460</v>
      </c>
      <c r="E51" s="3" t="s">
        <v>312</v>
      </c>
      <c r="F51" s="3" t="s">
        <v>461</v>
      </c>
      <c r="G51" s="3" t="s">
        <v>461</v>
      </c>
      <c r="H51" s="3" t="s">
        <v>462</v>
      </c>
      <c r="I51" s="3" t="n">
        <f aca="false">LEN(H51)</f>
        <v>58</v>
      </c>
      <c r="J51" s="3" t="s">
        <v>463</v>
      </c>
      <c r="K51" s="3" t="n">
        <f aca="false">LEN(J51)</f>
        <v>154</v>
      </c>
      <c r="L51" s="3" t="s">
        <v>464</v>
      </c>
      <c r="M51" s="3" t="s">
        <v>465</v>
      </c>
      <c r="N51" s="3" t="s">
        <v>319</v>
      </c>
      <c r="O51" s="3" t="s">
        <v>179</v>
      </c>
      <c r="P51" s="3" t="s">
        <v>449</v>
      </c>
      <c r="Q51" s="5" t="n">
        <v>7270</v>
      </c>
      <c r="R51" s="3" t="s">
        <v>466</v>
      </c>
      <c r="S51" s="3" t="s">
        <v>32</v>
      </c>
      <c r="T51" s="4"/>
    </row>
    <row r="52" customFormat="false" ht="34.5" hidden="false" customHeight="true" outlineLevel="0" collapsed="false">
      <c r="A52" s="3" t="n">
        <v>145</v>
      </c>
      <c r="B52" s="3" t="n">
        <v>8</v>
      </c>
      <c r="C52" s="4" t="n">
        <v>46327</v>
      </c>
      <c r="D52" s="3" t="s">
        <v>467</v>
      </c>
      <c r="E52" s="3" t="s">
        <v>312</v>
      </c>
      <c r="F52" s="3" t="s">
        <v>468</v>
      </c>
      <c r="G52" s="3" t="s">
        <v>469</v>
      </c>
      <c r="H52" s="3" t="s">
        <v>470</v>
      </c>
      <c r="I52" s="3" t="n">
        <f aca="false">LEN(H52)</f>
        <v>58</v>
      </c>
      <c r="J52" s="3" t="s">
        <v>471</v>
      </c>
      <c r="K52" s="3" t="n">
        <f aca="false">LEN(J52)</f>
        <v>147</v>
      </c>
      <c r="L52" s="3" t="s">
        <v>472</v>
      </c>
      <c r="M52" s="3" t="s">
        <v>473</v>
      </c>
      <c r="N52" s="3" t="s">
        <v>319</v>
      </c>
      <c r="O52" s="3" t="s">
        <v>179</v>
      </c>
      <c r="P52" s="3" t="s">
        <v>458</v>
      </c>
      <c r="Q52" s="5" t="n">
        <v>6737</v>
      </c>
      <c r="R52" s="3" t="s">
        <v>474</v>
      </c>
      <c r="S52" s="3" t="s">
        <v>32</v>
      </c>
      <c r="T52" s="4"/>
    </row>
    <row r="53" customFormat="false" ht="34.5" hidden="false" customHeight="true" outlineLevel="0" collapsed="false">
      <c r="A53" s="3" t="n">
        <v>146</v>
      </c>
      <c r="B53" s="3" t="n">
        <v>8</v>
      </c>
      <c r="C53" s="4" t="n">
        <v>46327</v>
      </c>
      <c r="D53" s="3" t="s">
        <v>475</v>
      </c>
      <c r="E53" s="3" t="s">
        <v>312</v>
      </c>
      <c r="F53" s="3" t="s">
        <v>476</v>
      </c>
      <c r="G53" s="3" t="s">
        <v>477</v>
      </c>
      <c r="H53" s="3" t="s">
        <v>478</v>
      </c>
      <c r="I53" s="3" t="n">
        <f aca="false">LEN(H53)</f>
        <v>58</v>
      </c>
      <c r="J53" s="3" t="s">
        <v>479</v>
      </c>
      <c r="K53" s="3" t="n">
        <f aca="false">LEN(J53)</f>
        <v>148</v>
      </c>
      <c r="L53" s="3" t="s">
        <v>480</v>
      </c>
      <c r="M53" s="3" t="s">
        <v>481</v>
      </c>
      <c r="N53" s="3" t="s">
        <v>319</v>
      </c>
      <c r="O53" s="3" t="s">
        <v>179</v>
      </c>
      <c r="P53" s="3" t="s">
        <v>482</v>
      </c>
      <c r="Q53" s="5" t="n">
        <v>6992</v>
      </c>
      <c r="R53" s="3" t="s">
        <v>483</v>
      </c>
      <c r="S53" s="3" t="s">
        <v>32</v>
      </c>
      <c r="T53" s="4"/>
    </row>
    <row r="54" customFormat="false" ht="34.5" hidden="false" customHeight="true" outlineLevel="0" collapsed="false">
      <c r="A54" s="3" t="n">
        <v>147</v>
      </c>
      <c r="B54" s="3" t="n">
        <v>8</v>
      </c>
      <c r="C54" s="4" t="n">
        <v>46327</v>
      </c>
      <c r="D54" s="3" t="s">
        <v>484</v>
      </c>
      <c r="E54" s="3" t="s">
        <v>312</v>
      </c>
      <c r="F54" s="3" t="s">
        <v>485</v>
      </c>
      <c r="G54" s="3" t="s">
        <v>485</v>
      </c>
      <c r="H54" s="3" t="s">
        <v>486</v>
      </c>
      <c r="I54" s="3" t="n">
        <f aca="false">LEN(H54)</f>
        <v>54</v>
      </c>
      <c r="J54" s="3" t="s">
        <v>487</v>
      </c>
      <c r="K54" s="3" t="n">
        <f aca="false">LEN(J54)</f>
        <v>154</v>
      </c>
      <c r="L54" s="3" t="s">
        <v>488</v>
      </c>
      <c r="M54" s="3" t="s">
        <v>489</v>
      </c>
      <c r="N54" s="3" t="s">
        <v>319</v>
      </c>
      <c r="O54" s="3" t="s">
        <v>179</v>
      </c>
      <c r="P54" s="3" t="s">
        <v>490</v>
      </c>
      <c r="Q54" s="5" t="n">
        <v>7445</v>
      </c>
      <c r="R54" s="3" t="s">
        <v>491</v>
      </c>
      <c r="S54" s="3" t="s">
        <v>32</v>
      </c>
      <c r="T54" s="4"/>
    </row>
    <row r="55" customFormat="false" ht="34.5" hidden="false" customHeight="true" outlineLevel="0" collapsed="false">
      <c r="A55" s="3" t="n">
        <v>148</v>
      </c>
      <c r="B55" s="3" t="n">
        <v>8</v>
      </c>
      <c r="C55" s="4" t="n">
        <v>46327</v>
      </c>
      <c r="D55" s="3" t="s">
        <v>492</v>
      </c>
      <c r="E55" s="3" t="s">
        <v>493</v>
      </c>
      <c r="F55" s="3" t="s">
        <v>494</v>
      </c>
      <c r="G55" s="3" t="s">
        <v>494</v>
      </c>
      <c r="H55" s="3" t="s">
        <v>495</v>
      </c>
      <c r="I55" s="3" t="n">
        <f aca="false">LEN(H55)</f>
        <v>57</v>
      </c>
      <c r="J55" s="3" t="s">
        <v>496</v>
      </c>
      <c r="K55" s="3" t="n">
        <f aca="false">LEN(J55)</f>
        <v>151</v>
      </c>
      <c r="L55" s="3" t="s">
        <v>497</v>
      </c>
      <c r="M55" s="3" t="s">
        <v>498</v>
      </c>
      <c r="N55" s="3" t="s">
        <v>499</v>
      </c>
      <c r="O55" s="3" t="s">
        <v>179</v>
      </c>
      <c r="P55" s="3" t="s">
        <v>500</v>
      </c>
      <c r="Q55" s="5" t="n">
        <v>6289</v>
      </c>
      <c r="R55" s="3" t="s">
        <v>501</v>
      </c>
      <c r="S55" s="3" t="s">
        <v>32</v>
      </c>
      <c r="T55" s="4"/>
    </row>
    <row r="56" customFormat="false" ht="34.5" hidden="false" customHeight="true" outlineLevel="0" collapsed="false">
      <c r="A56" s="3" t="n">
        <v>149</v>
      </c>
      <c r="B56" s="3" t="n">
        <v>8</v>
      </c>
      <c r="C56" s="4" t="n">
        <v>46327</v>
      </c>
      <c r="D56" s="3" t="s">
        <v>502</v>
      </c>
      <c r="E56" s="3" t="s">
        <v>493</v>
      </c>
      <c r="F56" s="3" t="s">
        <v>503</v>
      </c>
      <c r="G56" s="3" t="s">
        <v>503</v>
      </c>
      <c r="H56" s="3" t="s">
        <v>504</v>
      </c>
      <c r="I56" s="3" t="n">
        <f aca="false">LEN(H56)</f>
        <v>56</v>
      </c>
      <c r="J56" s="3" t="s">
        <v>505</v>
      </c>
      <c r="K56" s="3" t="n">
        <f aca="false">LEN(J56)</f>
        <v>149</v>
      </c>
      <c r="L56" s="3" t="s">
        <v>506</v>
      </c>
      <c r="M56" s="3" t="s">
        <v>507</v>
      </c>
      <c r="N56" s="3" t="s">
        <v>499</v>
      </c>
      <c r="O56" s="3" t="s">
        <v>179</v>
      </c>
      <c r="P56" s="3" t="s">
        <v>432</v>
      </c>
      <c r="Q56" s="5" t="n">
        <v>6298</v>
      </c>
      <c r="R56" s="3" t="s">
        <v>508</v>
      </c>
      <c r="S56" s="3" t="s">
        <v>32</v>
      </c>
      <c r="T56" s="4"/>
    </row>
    <row r="57" customFormat="false" ht="34.5" hidden="false" customHeight="true" outlineLevel="0" collapsed="false">
      <c r="A57" s="3" t="n">
        <v>150</v>
      </c>
      <c r="B57" s="3" t="n">
        <v>8</v>
      </c>
      <c r="C57" s="4" t="n">
        <v>46327</v>
      </c>
      <c r="D57" s="3" t="s">
        <v>509</v>
      </c>
      <c r="E57" s="3" t="s">
        <v>44</v>
      </c>
      <c r="F57" s="3" t="s">
        <v>510</v>
      </c>
      <c r="G57" s="3" t="s">
        <v>510</v>
      </c>
      <c r="H57" s="3" t="s">
        <v>511</v>
      </c>
      <c r="I57" s="3" t="n">
        <f aca="false">LEN(H57)</f>
        <v>57</v>
      </c>
      <c r="J57" s="3" t="s">
        <v>512</v>
      </c>
      <c r="K57" s="3" t="n">
        <f aca="false">LEN(J57)</f>
        <v>149</v>
      </c>
      <c r="L57" s="3" t="s">
        <v>513</v>
      </c>
      <c r="M57" s="3" t="s">
        <v>514</v>
      </c>
      <c r="N57" s="3" t="s">
        <v>50</v>
      </c>
      <c r="O57" s="3" t="s">
        <v>29</v>
      </c>
      <c r="P57" s="3" t="s">
        <v>515</v>
      </c>
      <c r="Q57" s="5" t="n">
        <v>6476</v>
      </c>
      <c r="R57" s="3" t="s">
        <v>516</v>
      </c>
      <c r="S57" s="3" t="s">
        <v>32</v>
      </c>
      <c r="T57" s="4"/>
    </row>
    <row r="58" customFormat="false" ht="34.5" hidden="false" customHeight="true" outlineLevel="0" collapsed="false">
      <c r="A58" s="3" t="n">
        <v>151</v>
      </c>
      <c r="B58" s="3" t="n">
        <v>8</v>
      </c>
      <c r="C58" s="4" t="n">
        <v>46327</v>
      </c>
      <c r="D58" s="3" t="s">
        <v>517</v>
      </c>
      <c r="E58" s="3" t="s">
        <v>518</v>
      </c>
      <c r="F58" s="3" t="s">
        <v>519</v>
      </c>
      <c r="G58" s="3" t="s">
        <v>520</v>
      </c>
      <c r="H58" s="3" t="s">
        <v>521</v>
      </c>
      <c r="I58" s="3" t="n">
        <f aca="false">LEN(H58)</f>
        <v>59</v>
      </c>
      <c r="J58" s="3" t="s">
        <v>522</v>
      </c>
      <c r="K58" s="3" t="n">
        <f aca="false">LEN(J58)</f>
        <v>145</v>
      </c>
      <c r="L58" s="3" t="s">
        <v>523</v>
      </c>
      <c r="M58" s="3" t="s">
        <v>524</v>
      </c>
      <c r="N58" s="3" t="s">
        <v>525</v>
      </c>
      <c r="O58" s="3" t="s">
        <v>29</v>
      </c>
      <c r="P58" s="3" t="s">
        <v>526</v>
      </c>
      <c r="Q58" s="5" t="n">
        <v>6110</v>
      </c>
      <c r="R58" s="3" t="s">
        <v>527</v>
      </c>
      <c r="S58" s="3" t="s">
        <v>32</v>
      </c>
      <c r="T58" s="4"/>
    </row>
    <row r="59" customFormat="false" ht="34.5" hidden="false" customHeight="true" outlineLevel="0" collapsed="false">
      <c r="A59" s="3" t="n">
        <v>191</v>
      </c>
      <c r="B59" s="3" t="n">
        <v>8</v>
      </c>
      <c r="C59" s="4" t="n">
        <v>46327</v>
      </c>
      <c r="D59" s="3" t="s">
        <v>528</v>
      </c>
      <c r="E59" s="3" t="s">
        <v>172</v>
      </c>
      <c r="F59" s="3" t="s">
        <v>529</v>
      </c>
      <c r="G59" s="3" t="s">
        <v>529</v>
      </c>
      <c r="H59" s="3" t="s">
        <v>530</v>
      </c>
      <c r="I59" s="3" t="n">
        <f aca="false">LEN(H59)</f>
        <v>55</v>
      </c>
      <c r="J59" s="3" t="s">
        <v>531</v>
      </c>
      <c r="K59" s="3" t="n">
        <f aca="false">LEN(J59)</f>
        <v>149</v>
      </c>
      <c r="L59" s="3" t="s">
        <v>532</v>
      </c>
      <c r="M59" s="3" t="s">
        <v>533</v>
      </c>
      <c r="N59" s="3" t="s">
        <v>362</v>
      </c>
      <c r="O59" s="3" t="s">
        <v>179</v>
      </c>
      <c r="P59" s="3" t="s">
        <v>534</v>
      </c>
      <c r="Q59" s="5" t="n">
        <v>12495</v>
      </c>
      <c r="R59" s="3" t="s">
        <v>535</v>
      </c>
      <c r="S59" s="3" t="s">
        <v>32</v>
      </c>
      <c r="T59" s="4"/>
    </row>
    <row r="60" customFormat="false" ht="34.5" hidden="false" customHeight="true" outlineLevel="0" collapsed="false">
      <c r="A60" s="3" t="n">
        <v>192</v>
      </c>
      <c r="B60" s="3" t="n">
        <v>8</v>
      </c>
      <c r="C60" s="4" t="n">
        <v>46327</v>
      </c>
      <c r="D60" s="3" t="s">
        <v>536</v>
      </c>
      <c r="E60" s="3" t="s">
        <v>172</v>
      </c>
      <c r="F60" s="3" t="s">
        <v>537</v>
      </c>
      <c r="G60" s="3" t="s">
        <v>537</v>
      </c>
      <c r="H60" s="3" t="s">
        <v>538</v>
      </c>
      <c r="I60" s="3" t="n">
        <f aca="false">LEN(H60)</f>
        <v>57</v>
      </c>
      <c r="J60" s="3" t="s">
        <v>539</v>
      </c>
      <c r="K60" s="3" t="n">
        <f aca="false">LEN(J60)</f>
        <v>148</v>
      </c>
      <c r="L60" s="3" t="s">
        <v>540</v>
      </c>
      <c r="M60" s="3" t="s">
        <v>541</v>
      </c>
      <c r="N60" s="3" t="s">
        <v>362</v>
      </c>
      <c r="O60" s="3" t="s">
        <v>179</v>
      </c>
      <c r="P60" s="3" t="s">
        <v>542</v>
      </c>
      <c r="Q60" s="5" t="n">
        <v>8289</v>
      </c>
      <c r="R60" s="3" t="s">
        <v>543</v>
      </c>
      <c r="S60" s="3" t="s">
        <v>32</v>
      </c>
      <c r="T60" s="4"/>
    </row>
    <row r="61" customFormat="false" ht="34.5" hidden="false" customHeight="true" outlineLevel="0" collapsed="false">
      <c r="A61" s="3" t="n">
        <v>193</v>
      </c>
      <c r="B61" s="3" t="n">
        <v>8</v>
      </c>
      <c r="C61" s="4" t="n">
        <v>46327</v>
      </c>
      <c r="D61" s="3" t="s">
        <v>544</v>
      </c>
      <c r="E61" s="3" t="s">
        <v>172</v>
      </c>
      <c r="F61" s="3" t="s">
        <v>545</v>
      </c>
      <c r="G61" s="3" t="s">
        <v>545</v>
      </c>
      <c r="H61" s="3" t="s">
        <v>546</v>
      </c>
      <c r="I61" s="3" t="n">
        <f aca="false">LEN(H61)</f>
        <v>55</v>
      </c>
      <c r="J61" s="3" t="s">
        <v>547</v>
      </c>
      <c r="K61" s="3" t="n">
        <f aca="false">LEN(J61)</f>
        <v>150</v>
      </c>
      <c r="L61" s="3" t="s">
        <v>548</v>
      </c>
      <c r="M61" s="3" t="s">
        <v>549</v>
      </c>
      <c r="N61" s="3" t="s">
        <v>362</v>
      </c>
      <c r="O61" s="3" t="s">
        <v>179</v>
      </c>
      <c r="P61" s="3" t="s">
        <v>550</v>
      </c>
      <c r="Q61" s="5" t="n">
        <v>8422</v>
      </c>
      <c r="R61" s="3" t="s">
        <v>551</v>
      </c>
      <c r="S61" s="3" t="s">
        <v>32</v>
      </c>
      <c r="T61" s="4"/>
    </row>
    <row r="62" customFormat="false" ht="34.5" hidden="false" customHeight="true" outlineLevel="0" collapsed="false">
      <c r="A62" s="3" t="n">
        <v>153</v>
      </c>
      <c r="B62" s="3" t="n">
        <v>9</v>
      </c>
      <c r="C62" s="4" t="n">
        <v>46328</v>
      </c>
      <c r="D62" s="3" t="s">
        <v>552</v>
      </c>
      <c r="E62" s="3" t="s">
        <v>518</v>
      </c>
      <c r="F62" s="3" t="s">
        <v>553</v>
      </c>
      <c r="G62" s="3" t="s">
        <v>554</v>
      </c>
      <c r="H62" s="3" t="s">
        <v>555</v>
      </c>
      <c r="I62" s="3" t="n">
        <f aca="false">LEN(H62)</f>
        <v>59</v>
      </c>
      <c r="J62" s="3" t="s">
        <v>556</v>
      </c>
      <c r="K62" s="3" t="n">
        <f aca="false">LEN(J62)</f>
        <v>148</v>
      </c>
      <c r="L62" s="3" t="s">
        <v>557</v>
      </c>
      <c r="M62" s="3" t="s">
        <v>558</v>
      </c>
      <c r="N62" s="3" t="s">
        <v>525</v>
      </c>
      <c r="O62" s="3" t="s">
        <v>29</v>
      </c>
      <c r="P62" s="3" t="s">
        <v>559</v>
      </c>
      <c r="Q62" s="5" t="n">
        <v>6491</v>
      </c>
      <c r="R62" s="3" t="s">
        <v>560</v>
      </c>
      <c r="S62" s="3" t="s">
        <v>32</v>
      </c>
      <c r="T62" s="4"/>
    </row>
    <row r="63" customFormat="false" ht="34.5" hidden="false" customHeight="true" outlineLevel="0" collapsed="false">
      <c r="A63" s="3" t="n">
        <v>154</v>
      </c>
      <c r="B63" s="3" t="n">
        <v>9</v>
      </c>
      <c r="C63" s="4" t="n">
        <v>46328</v>
      </c>
      <c r="D63" s="3" t="s">
        <v>561</v>
      </c>
      <c r="E63" s="3" t="s">
        <v>518</v>
      </c>
      <c r="F63" s="3" t="s">
        <v>562</v>
      </c>
      <c r="G63" s="3" t="s">
        <v>563</v>
      </c>
      <c r="H63" s="3" t="s">
        <v>564</v>
      </c>
      <c r="I63" s="3" t="n">
        <f aca="false">LEN(H63)</f>
        <v>56</v>
      </c>
      <c r="J63" s="3" t="s">
        <v>565</v>
      </c>
      <c r="K63" s="3" t="n">
        <f aca="false">LEN(J63)</f>
        <v>152</v>
      </c>
      <c r="L63" s="3" t="s">
        <v>566</v>
      </c>
      <c r="M63" s="3" t="s">
        <v>567</v>
      </c>
      <c r="N63" s="3" t="s">
        <v>525</v>
      </c>
      <c r="O63" s="3" t="s">
        <v>29</v>
      </c>
      <c r="P63" s="3" t="s">
        <v>568</v>
      </c>
      <c r="Q63" s="5" t="n">
        <v>5930</v>
      </c>
      <c r="R63" s="3" t="s">
        <v>569</v>
      </c>
      <c r="S63" s="3" t="s">
        <v>32</v>
      </c>
      <c r="T63" s="4"/>
    </row>
    <row r="64" customFormat="false" ht="34.5" hidden="false" customHeight="true" outlineLevel="0" collapsed="false">
      <c r="A64" s="3" t="n">
        <v>155</v>
      </c>
      <c r="B64" s="3" t="n">
        <v>9</v>
      </c>
      <c r="C64" s="4" t="n">
        <v>46328</v>
      </c>
      <c r="D64" s="3" t="s">
        <v>570</v>
      </c>
      <c r="E64" s="3" t="s">
        <v>518</v>
      </c>
      <c r="F64" s="3" t="s">
        <v>571</v>
      </c>
      <c r="G64" s="3" t="s">
        <v>572</v>
      </c>
      <c r="H64" s="3" t="s">
        <v>573</v>
      </c>
      <c r="I64" s="3" t="n">
        <f aca="false">LEN(H64)</f>
        <v>57</v>
      </c>
      <c r="J64" s="3" t="s">
        <v>574</v>
      </c>
      <c r="K64" s="3" t="n">
        <f aca="false">LEN(J64)</f>
        <v>152</v>
      </c>
      <c r="L64" s="3" t="s">
        <v>575</v>
      </c>
      <c r="M64" s="3" t="s">
        <v>576</v>
      </c>
      <c r="N64" s="3" t="s">
        <v>525</v>
      </c>
      <c r="O64" s="3" t="s">
        <v>29</v>
      </c>
      <c r="P64" s="3" t="s">
        <v>577</v>
      </c>
      <c r="Q64" s="5" t="n">
        <v>5901</v>
      </c>
      <c r="R64" s="3" t="s">
        <v>578</v>
      </c>
      <c r="S64" s="3" t="s">
        <v>32</v>
      </c>
      <c r="T64" s="4"/>
    </row>
    <row r="65" customFormat="false" ht="34.5" hidden="false" customHeight="true" outlineLevel="0" collapsed="false">
      <c r="A65" s="3" t="n">
        <v>156</v>
      </c>
      <c r="B65" s="3" t="n">
        <v>9</v>
      </c>
      <c r="C65" s="4" t="n">
        <v>46328</v>
      </c>
      <c r="D65" s="3" t="s">
        <v>579</v>
      </c>
      <c r="E65" s="3" t="s">
        <v>518</v>
      </c>
      <c r="F65" s="3" t="s">
        <v>580</v>
      </c>
      <c r="G65" s="3" t="s">
        <v>580</v>
      </c>
      <c r="H65" s="3" t="s">
        <v>581</v>
      </c>
      <c r="I65" s="3" t="n">
        <f aca="false">LEN(H65)</f>
        <v>55</v>
      </c>
      <c r="J65" s="3" t="s">
        <v>582</v>
      </c>
      <c r="K65" s="3" t="n">
        <f aca="false">LEN(J65)</f>
        <v>150</v>
      </c>
      <c r="L65" s="3" t="s">
        <v>583</v>
      </c>
      <c r="M65" s="3" t="s">
        <v>584</v>
      </c>
      <c r="N65" s="3" t="s">
        <v>525</v>
      </c>
      <c r="O65" s="3" t="s">
        <v>29</v>
      </c>
      <c r="P65" s="3" t="s">
        <v>585</v>
      </c>
      <c r="Q65" s="5" t="n">
        <v>6494</v>
      </c>
      <c r="R65" s="3" t="s">
        <v>586</v>
      </c>
      <c r="S65" s="3" t="s">
        <v>32</v>
      </c>
      <c r="T65" s="4"/>
    </row>
    <row r="66" customFormat="false" ht="34.5" hidden="false" customHeight="true" outlineLevel="0" collapsed="false">
      <c r="A66" s="3" t="n">
        <v>157</v>
      </c>
      <c r="B66" s="3" t="n">
        <v>9</v>
      </c>
      <c r="C66" s="4" t="n">
        <v>46328</v>
      </c>
      <c r="D66" s="3" t="s">
        <v>587</v>
      </c>
      <c r="E66" s="3" t="s">
        <v>34</v>
      </c>
      <c r="F66" s="3" t="s">
        <v>588</v>
      </c>
      <c r="G66" s="3" t="s">
        <v>589</v>
      </c>
      <c r="H66" s="3" t="s">
        <v>590</v>
      </c>
      <c r="I66" s="3" t="n">
        <f aca="false">LEN(H66)</f>
        <v>55</v>
      </c>
      <c r="J66" s="3" t="s">
        <v>591</v>
      </c>
      <c r="K66" s="3" t="n">
        <f aca="false">LEN(J66)</f>
        <v>150</v>
      </c>
      <c r="L66" s="3" t="s">
        <v>592</v>
      </c>
      <c r="M66" s="3" t="s">
        <v>593</v>
      </c>
      <c r="N66" s="3" t="s">
        <v>40</v>
      </c>
      <c r="O66" s="3" t="s">
        <v>29</v>
      </c>
      <c r="P66" s="3" t="s">
        <v>594</v>
      </c>
      <c r="Q66" s="5" t="n">
        <v>4794</v>
      </c>
      <c r="R66" s="3" t="s">
        <v>595</v>
      </c>
      <c r="S66" s="3" t="s">
        <v>32</v>
      </c>
      <c r="T66" s="4"/>
    </row>
    <row r="67" customFormat="false" ht="34.5" hidden="false" customHeight="true" outlineLevel="0" collapsed="false">
      <c r="A67" s="3" t="n">
        <v>158</v>
      </c>
      <c r="B67" s="3" t="n">
        <v>9</v>
      </c>
      <c r="C67" s="4" t="n">
        <v>46328</v>
      </c>
      <c r="D67" s="3" t="s">
        <v>596</v>
      </c>
      <c r="E67" s="3" t="s">
        <v>34</v>
      </c>
      <c r="F67" s="3" t="s">
        <v>597</v>
      </c>
      <c r="G67" s="3" t="s">
        <v>598</v>
      </c>
      <c r="H67" s="3" t="s">
        <v>599</v>
      </c>
      <c r="I67" s="3" t="n">
        <f aca="false">LEN(H67)</f>
        <v>51</v>
      </c>
      <c r="J67" s="3" t="s">
        <v>600</v>
      </c>
      <c r="K67" s="3" t="n">
        <f aca="false">LEN(J67)</f>
        <v>146</v>
      </c>
      <c r="L67" s="3" t="s">
        <v>601</v>
      </c>
      <c r="M67" s="3" t="s">
        <v>602</v>
      </c>
      <c r="N67" s="3" t="s">
        <v>40</v>
      </c>
      <c r="O67" s="3" t="s">
        <v>29</v>
      </c>
      <c r="P67" s="3" t="s">
        <v>603</v>
      </c>
      <c r="Q67" s="5" t="n">
        <v>3748</v>
      </c>
      <c r="R67" s="3" t="s">
        <v>604</v>
      </c>
      <c r="S67" s="3" t="s">
        <v>32</v>
      </c>
      <c r="T67" s="4"/>
    </row>
    <row r="68" customFormat="false" ht="34.5" hidden="false" customHeight="true" outlineLevel="0" collapsed="false">
      <c r="A68" s="3" t="n">
        <v>159</v>
      </c>
      <c r="B68" s="3" t="n">
        <v>9</v>
      </c>
      <c r="C68" s="4" t="n">
        <v>46328</v>
      </c>
      <c r="D68" s="3" t="s">
        <v>605</v>
      </c>
      <c r="E68" s="3" t="s">
        <v>518</v>
      </c>
      <c r="F68" s="3" t="s">
        <v>606</v>
      </c>
      <c r="G68" s="3" t="s">
        <v>606</v>
      </c>
      <c r="H68" s="3" t="s">
        <v>607</v>
      </c>
      <c r="I68" s="3" t="n">
        <f aca="false">LEN(H68)</f>
        <v>55</v>
      </c>
      <c r="J68" s="3" t="s">
        <v>608</v>
      </c>
      <c r="K68" s="3" t="n">
        <f aca="false">LEN(J68)</f>
        <v>154</v>
      </c>
      <c r="L68" s="3" t="s">
        <v>609</v>
      </c>
      <c r="M68" s="3" t="s">
        <v>610</v>
      </c>
      <c r="N68" s="3" t="s">
        <v>525</v>
      </c>
      <c r="O68" s="3" t="s">
        <v>29</v>
      </c>
      <c r="P68" s="3" t="s">
        <v>611</v>
      </c>
      <c r="Q68" s="5" t="n">
        <v>5650</v>
      </c>
      <c r="R68" s="3" t="s">
        <v>612</v>
      </c>
      <c r="S68" s="3" t="s">
        <v>32</v>
      </c>
      <c r="T68" s="4"/>
    </row>
    <row r="69" customFormat="false" ht="34.5" hidden="false" customHeight="true" outlineLevel="0" collapsed="false">
      <c r="A69" s="3" t="n">
        <v>160</v>
      </c>
      <c r="B69" s="3" t="n">
        <v>9</v>
      </c>
      <c r="C69" s="4" t="n">
        <v>46328</v>
      </c>
      <c r="D69" s="3" t="s">
        <v>613</v>
      </c>
      <c r="E69" s="3" t="s">
        <v>518</v>
      </c>
      <c r="F69" s="3" t="s">
        <v>614</v>
      </c>
      <c r="G69" s="3" t="s">
        <v>614</v>
      </c>
      <c r="H69" s="3" t="s">
        <v>615</v>
      </c>
      <c r="I69" s="3" t="n">
        <f aca="false">LEN(H69)</f>
        <v>56</v>
      </c>
      <c r="J69" s="3" t="s">
        <v>616</v>
      </c>
      <c r="K69" s="3" t="n">
        <f aca="false">LEN(J69)</f>
        <v>155</v>
      </c>
      <c r="L69" s="3" t="s">
        <v>617</v>
      </c>
      <c r="M69" s="3" t="s">
        <v>618</v>
      </c>
      <c r="N69" s="3" t="s">
        <v>525</v>
      </c>
      <c r="O69" s="3" t="s">
        <v>29</v>
      </c>
      <c r="P69" s="3" t="s">
        <v>619</v>
      </c>
      <c r="Q69" s="5" t="n">
        <v>6186</v>
      </c>
      <c r="R69" s="3" t="s">
        <v>620</v>
      </c>
      <c r="S69" s="3" t="s">
        <v>32</v>
      </c>
      <c r="T69" s="4"/>
    </row>
    <row r="70" customFormat="false" ht="34.5" hidden="false" customHeight="true" outlineLevel="0" collapsed="false">
      <c r="A70" s="3" t="n">
        <v>161</v>
      </c>
      <c r="B70" s="3" t="n">
        <v>9</v>
      </c>
      <c r="C70" s="4" t="n">
        <v>46328</v>
      </c>
      <c r="D70" s="3" t="s">
        <v>621</v>
      </c>
      <c r="E70" s="3" t="s">
        <v>518</v>
      </c>
      <c r="F70" s="3" t="s">
        <v>622</v>
      </c>
      <c r="G70" s="3" t="s">
        <v>622</v>
      </c>
      <c r="H70" s="3" t="s">
        <v>623</v>
      </c>
      <c r="I70" s="3" t="n">
        <f aca="false">LEN(H70)</f>
        <v>58</v>
      </c>
      <c r="J70" s="3" t="s">
        <v>624</v>
      </c>
      <c r="K70" s="3" t="n">
        <f aca="false">LEN(J70)</f>
        <v>154</v>
      </c>
      <c r="L70" s="3" t="s">
        <v>625</v>
      </c>
      <c r="M70" s="3" t="s">
        <v>626</v>
      </c>
      <c r="N70" s="3" t="s">
        <v>525</v>
      </c>
      <c r="O70" s="3" t="s">
        <v>29</v>
      </c>
      <c r="P70" s="3" t="s">
        <v>627</v>
      </c>
      <c r="Q70" s="5" t="n">
        <v>5562</v>
      </c>
      <c r="R70" s="3" t="s">
        <v>628</v>
      </c>
      <c r="S70" s="3" t="s">
        <v>32</v>
      </c>
      <c r="T70" s="4"/>
    </row>
    <row r="71" customFormat="false" ht="34.5" hidden="false" customHeight="true" outlineLevel="0" collapsed="false">
      <c r="A71" s="3" t="n">
        <v>162</v>
      </c>
      <c r="B71" s="3" t="n">
        <v>9</v>
      </c>
      <c r="C71" s="4" t="n">
        <v>46328</v>
      </c>
      <c r="D71" s="3" t="s">
        <v>629</v>
      </c>
      <c r="E71" s="3" t="s">
        <v>518</v>
      </c>
      <c r="F71" s="3" t="s">
        <v>630</v>
      </c>
      <c r="G71" s="3" t="s">
        <v>630</v>
      </c>
      <c r="H71" s="3" t="s">
        <v>631</v>
      </c>
      <c r="I71" s="3" t="n">
        <f aca="false">LEN(H71)</f>
        <v>60</v>
      </c>
      <c r="J71" s="3" t="s">
        <v>632</v>
      </c>
      <c r="K71" s="3" t="n">
        <f aca="false">LEN(J71)</f>
        <v>151</v>
      </c>
      <c r="L71" s="3" t="s">
        <v>633</v>
      </c>
      <c r="M71" s="3" t="s">
        <v>634</v>
      </c>
      <c r="N71" s="3" t="s">
        <v>525</v>
      </c>
      <c r="O71" s="3" t="s">
        <v>29</v>
      </c>
      <c r="P71" s="3" t="s">
        <v>577</v>
      </c>
      <c r="Q71" s="5" t="n">
        <v>5380</v>
      </c>
      <c r="R71" s="3" t="s">
        <v>635</v>
      </c>
      <c r="S71" s="3" t="s">
        <v>32</v>
      </c>
      <c r="T71" s="4"/>
    </row>
    <row r="72" customFormat="false" ht="23.25" hidden="false" customHeight="true" outlineLevel="0" collapsed="false">
      <c r="A72" s="3" t="n">
        <v>163</v>
      </c>
      <c r="B72" s="3" t="n">
        <v>9</v>
      </c>
      <c r="C72" s="4" t="n">
        <v>46328</v>
      </c>
      <c r="D72" s="3" t="s">
        <v>636</v>
      </c>
      <c r="E72" s="3" t="s">
        <v>518</v>
      </c>
      <c r="F72" s="3" t="s">
        <v>637</v>
      </c>
      <c r="G72" s="3" t="s">
        <v>637</v>
      </c>
      <c r="H72" s="3" t="s">
        <v>638</v>
      </c>
      <c r="I72" s="3" t="n">
        <f aca="false">LEN(H72)</f>
        <v>59</v>
      </c>
      <c r="J72" s="3" t="s">
        <v>639</v>
      </c>
      <c r="K72" s="3" t="n">
        <f aca="false">LEN(J72)</f>
        <v>144</v>
      </c>
      <c r="L72" s="3" t="s">
        <v>640</v>
      </c>
      <c r="M72" s="3" t="s">
        <v>641</v>
      </c>
      <c r="N72" s="3" t="s">
        <v>642</v>
      </c>
      <c r="O72" s="3" t="s">
        <v>29</v>
      </c>
      <c r="P72" s="3" t="s">
        <v>643</v>
      </c>
      <c r="Q72" s="5" t="n">
        <v>4737</v>
      </c>
      <c r="R72" s="3" t="s">
        <v>644</v>
      </c>
      <c r="S72" s="3" t="s">
        <v>32</v>
      </c>
      <c r="T72" s="4"/>
    </row>
    <row r="73" customFormat="false" ht="34.5" hidden="false" customHeight="true" outlineLevel="0" collapsed="false">
      <c r="A73" s="3" t="n">
        <v>164</v>
      </c>
      <c r="B73" s="3" t="n">
        <v>9</v>
      </c>
      <c r="C73" s="4" t="n">
        <v>46328</v>
      </c>
      <c r="D73" s="3" t="s">
        <v>645</v>
      </c>
      <c r="E73" s="3" t="s">
        <v>518</v>
      </c>
      <c r="F73" s="3" t="s">
        <v>646</v>
      </c>
      <c r="G73" s="3" t="s">
        <v>646</v>
      </c>
      <c r="H73" s="3" t="s">
        <v>647</v>
      </c>
      <c r="I73" s="3" t="n">
        <f aca="false">LEN(H73)</f>
        <v>53</v>
      </c>
      <c r="J73" s="3" t="s">
        <v>648</v>
      </c>
      <c r="K73" s="3" t="n">
        <f aca="false">LEN(J73)</f>
        <v>153</v>
      </c>
      <c r="L73" s="3" t="s">
        <v>649</v>
      </c>
      <c r="M73" s="3" t="s">
        <v>650</v>
      </c>
      <c r="N73" s="3" t="s">
        <v>642</v>
      </c>
      <c r="O73" s="3" t="s">
        <v>29</v>
      </c>
      <c r="P73" s="3" t="s">
        <v>651</v>
      </c>
      <c r="Q73" s="5" t="n">
        <v>4754</v>
      </c>
      <c r="R73" s="3" t="s">
        <v>652</v>
      </c>
      <c r="S73" s="3" t="s">
        <v>32</v>
      </c>
      <c r="T73" s="4"/>
    </row>
    <row r="74" customFormat="false" ht="34.5" hidden="false" customHeight="true" outlineLevel="0" collapsed="false">
      <c r="A74" s="3" t="n">
        <v>165</v>
      </c>
      <c r="B74" s="3" t="n">
        <v>9</v>
      </c>
      <c r="C74" s="4" t="n">
        <v>46328</v>
      </c>
      <c r="D74" s="3" t="s">
        <v>653</v>
      </c>
      <c r="E74" s="3" t="s">
        <v>34</v>
      </c>
      <c r="F74" s="3" t="s">
        <v>654</v>
      </c>
      <c r="G74" s="3" t="s">
        <v>654</v>
      </c>
      <c r="H74" s="3" t="s">
        <v>655</v>
      </c>
      <c r="I74" s="3" t="n">
        <f aca="false">LEN(H74)</f>
        <v>57</v>
      </c>
      <c r="J74" s="3" t="s">
        <v>656</v>
      </c>
      <c r="K74" s="3" t="n">
        <f aca="false">LEN(J74)</f>
        <v>143</v>
      </c>
      <c r="L74" s="3" t="s">
        <v>657</v>
      </c>
      <c r="M74" s="3" t="s">
        <v>658</v>
      </c>
      <c r="N74" s="3" t="s">
        <v>40</v>
      </c>
      <c r="O74" s="3" t="s">
        <v>29</v>
      </c>
      <c r="P74" s="3" t="s">
        <v>659</v>
      </c>
      <c r="Q74" s="5" t="n">
        <v>5056</v>
      </c>
      <c r="R74" s="3" t="s">
        <v>660</v>
      </c>
      <c r="S74" s="3" t="s">
        <v>32</v>
      </c>
      <c r="T74" s="4"/>
    </row>
    <row r="75" customFormat="false" ht="34.5" hidden="false" customHeight="true" outlineLevel="0" collapsed="false">
      <c r="A75" s="3" t="n">
        <v>166</v>
      </c>
      <c r="B75" s="3" t="n">
        <v>9</v>
      </c>
      <c r="C75" s="4" t="n">
        <v>46328</v>
      </c>
      <c r="D75" s="3" t="s">
        <v>661</v>
      </c>
      <c r="E75" s="3" t="s">
        <v>34</v>
      </c>
      <c r="F75" s="3" t="s">
        <v>662</v>
      </c>
      <c r="G75" s="3" t="s">
        <v>662</v>
      </c>
      <c r="H75" s="3" t="s">
        <v>663</v>
      </c>
      <c r="I75" s="3" t="n">
        <f aca="false">LEN(H75)</f>
        <v>57</v>
      </c>
      <c r="J75" s="3" t="s">
        <v>664</v>
      </c>
      <c r="K75" s="3" t="n">
        <f aca="false">LEN(J75)</f>
        <v>149</v>
      </c>
      <c r="L75" s="3" t="s">
        <v>665</v>
      </c>
      <c r="M75" s="3" t="s">
        <v>666</v>
      </c>
      <c r="N75" s="3" t="s">
        <v>40</v>
      </c>
      <c r="O75" s="3" t="s">
        <v>179</v>
      </c>
      <c r="P75" s="3" t="s">
        <v>667</v>
      </c>
      <c r="Q75" s="5" t="n">
        <v>4524</v>
      </c>
      <c r="R75" s="3" t="s">
        <v>668</v>
      </c>
      <c r="S75" s="3" t="s">
        <v>32</v>
      </c>
      <c r="T75" s="4"/>
    </row>
    <row r="76" customFormat="false" ht="34.5" hidden="false" customHeight="true" outlineLevel="0" collapsed="false">
      <c r="A76" s="3" t="n">
        <v>167</v>
      </c>
      <c r="B76" s="3" t="n">
        <v>9</v>
      </c>
      <c r="C76" s="4" t="n">
        <v>46328</v>
      </c>
      <c r="D76" s="3" t="s">
        <v>669</v>
      </c>
      <c r="E76" s="3" t="s">
        <v>34</v>
      </c>
      <c r="F76" s="3" t="s">
        <v>670</v>
      </c>
      <c r="G76" s="3" t="s">
        <v>670</v>
      </c>
      <c r="H76" s="3" t="s">
        <v>671</v>
      </c>
      <c r="I76" s="3" t="n">
        <f aca="false">LEN(H76)</f>
        <v>59</v>
      </c>
      <c r="J76" s="3" t="s">
        <v>672</v>
      </c>
      <c r="K76" s="3" t="n">
        <f aca="false">LEN(J76)</f>
        <v>150</v>
      </c>
      <c r="L76" s="3" t="s">
        <v>673</v>
      </c>
      <c r="M76" s="3" t="s">
        <v>674</v>
      </c>
      <c r="N76" s="3" t="s">
        <v>40</v>
      </c>
      <c r="O76" s="3" t="s">
        <v>179</v>
      </c>
      <c r="P76" s="3" t="s">
        <v>675</v>
      </c>
      <c r="Q76" s="5" t="n">
        <v>4493</v>
      </c>
      <c r="R76" s="3" t="s">
        <v>676</v>
      </c>
      <c r="S76" s="3" t="s">
        <v>32</v>
      </c>
      <c r="T76" s="4"/>
    </row>
    <row r="77" customFormat="false" ht="34.5" hidden="false" customHeight="true" outlineLevel="0" collapsed="false">
      <c r="A77" s="3" t="n">
        <v>168</v>
      </c>
      <c r="B77" s="3" t="n">
        <v>9</v>
      </c>
      <c r="C77" s="4" t="n">
        <v>46328</v>
      </c>
      <c r="D77" s="3" t="s">
        <v>677</v>
      </c>
      <c r="E77" s="3" t="s">
        <v>34</v>
      </c>
      <c r="F77" s="3" t="s">
        <v>678</v>
      </c>
      <c r="G77" s="3" t="s">
        <v>678</v>
      </c>
      <c r="H77" s="3" t="s">
        <v>679</v>
      </c>
      <c r="I77" s="3" t="n">
        <f aca="false">LEN(H77)</f>
        <v>59</v>
      </c>
      <c r="J77" s="3" t="s">
        <v>680</v>
      </c>
      <c r="K77" s="3" t="n">
        <f aca="false">LEN(J77)</f>
        <v>147</v>
      </c>
      <c r="L77" s="3" t="s">
        <v>681</v>
      </c>
      <c r="M77" s="3" t="s">
        <v>682</v>
      </c>
      <c r="N77" s="3" t="s">
        <v>40</v>
      </c>
      <c r="O77" s="3" t="s">
        <v>29</v>
      </c>
      <c r="P77" s="3" t="s">
        <v>683</v>
      </c>
      <c r="Q77" s="5" t="n">
        <v>4291</v>
      </c>
      <c r="R77" s="3" t="s">
        <v>684</v>
      </c>
      <c r="S77" s="3" t="s">
        <v>32</v>
      </c>
      <c r="T77" s="4"/>
    </row>
    <row r="78" customFormat="false" ht="34.5" hidden="false" customHeight="true" outlineLevel="0" collapsed="false">
      <c r="A78" s="3" t="n">
        <v>170</v>
      </c>
      <c r="B78" s="3" t="n">
        <v>9</v>
      </c>
      <c r="C78" s="4" t="n">
        <v>46328</v>
      </c>
      <c r="D78" s="3" t="s">
        <v>685</v>
      </c>
      <c r="E78" s="3" t="s">
        <v>34</v>
      </c>
      <c r="F78" s="3" t="s">
        <v>686</v>
      </c>
      <c r="G78" s="3" t="s">
        <v>686</v>
      </c>
      <c r="H78" s="3" t="s">
        <v>687</v>
      </c>
      <c r="I78" s="3" t="n">
        <f aca="false">LEN(H78)</f>
        <v>55</v>
      </c>
      <c r="J78" s="3" t="s">
        <v>688</v>
      </c>
      <c r="K78" s="3" t="n">
        <f aca="false">LEN(J78)</f>
        <v>151</v>
      </c>
      <c r="L78" s="3" t="s">
        <v>689</v>
      </c>
      <c r="M78" s="3" t="s">
        <v>690</v>
      </c>
      <c r="N78" s="3" t="s">
        <v>40</v>
      </c>
      <c r="O78" s="3" t="s">
        <v>29</v>
      </c>
      <c r="P78" s="3" t="s">
        <v>691</v>
      </c>
      <c r="Q78" s="5" t="n">
        <v>4076</v>
      </c>
      <c r="R78" s="3" t="s">
        <v>692</v>
      </c>
      <c r="S78" s="3" t="s">
        <v>32</v>
      </c>
      <c r="T78" s="4"/>
    </row>
    <row r="79" customFormat="false" ht="23.25" hidden="false" customHeight="true" outlineLevel="0" collapsed="false">
      <c r="A79" s="3" t="n">
        <v>171</v>
      </c>
      <c r="B79" s="3" t="n">
        <v>9</v>
      </c>
      <c r="C79" s="4" t="n">
        <v>46328</v>
      </c>
      <c r="D79" s="3" t="s">
        <v>693</v>
      </c>
      <c r="E79" s="3" t="s">
        <v>34</v>
      </c>
      <c r="F79" s="3" t="s">
        <v>694</v>
      </c>
      <c r="G79" s="3" t="s">
        <v>694</v>
      </c>
      <c r="H79" s="3" t="s">
        <v>695</v>
      </c>
      <c r="I79" s="3" t="n">
        <f aca="false">LEN(H79)</f>
        <v>53</v>
      </c>
      <c r="J79" s="3" t="s">
        <v>696</v>
      </c>
      <c r="K79" s="3" t="n">
        <f aca="false">LEN(J79)</f>
        <v>140</v>
      </c>
      <c r="L79" s="3" t="s">
        <v>697</v>
      </c>
      <c r="M79" s="3" t="s">
        <v>698</v>
      </c>
      <c r="N79" s="3" t="s">
        <v>40</v>
      </c>
      <c r="O79" s="3" t="s">
        <v>179</v>
      </c>
      <c r="P79" s="3" t="s">
        <v>699</v>
      </c>
      <c r="Q79" s="5" t="n">
        <v>5683</v>
      </c>
      <c r="R79" s="3" t="s">
        <v>700</v>
      </c>
      <c r="S79" s="3" t="s">
        <v>32</v>
      </c>
      <c r="T79" s="4"/>
    </row>
    <row r="80" customFormat="false" ht="34.5" hidden="false" customHeight="true" outlineLevel="0" collapsed="false">
      <c r="A80" s="3" t="n">
        <v>194</v>
      </c>
      <c r="B80" s="3" t="n">
        <v>9</v>
      </c>
      <c r="C80" s="4" t="n">
        <v>46328</v>
      </c>
      <c r="D80" s="3" t="s">
        <v>701</v>
      </c>
      <c r="E80" s="3" t="s">
        <v>172</v>
      </c>
      <c r="F80" s="3" t="s">
        <v>702</v>
      </c>
      <c r="G80" s="3" t="s">
        <v>702</v>
      </c>
      <c r="H80" s="3" t="s">
        <v>703</v>
      </c>
      <c r="I80" s="3" t="n">
        <f aca="false">LEN(H80)</f>
        <v>54</v>
      </c>
      <c r="J80" s="3" t="s">
        <v>704</v>
      </c>
      <c r="K80" s="3" t="n">
        <f aca="false">LEN(J80)</f>
        <v>152</v>
      </c>
      <c r="L80" s="3" t="s">
        <v>705</v>
      </c>
      <c r="M80" s="3" t="s">
        <v>706</v>
      </c>
      <c r="N80" s="3" t="s">
        <v>362</v>
      </c>
      <c r="O80" s="3" t="s">
        <v>179</v>
      </c>
      <c r="P80" s="3" t="s">
        <v>707</v>
      </c>
      <c r="Q80" s="5" t="n">
        <v>8618</v>
      </c>
      <c r="R80" s="3" t="s">
        <v>708</v>
      </c>
      <c r="S80" s="3" t="s">
        <v>32</v>
      </c>
      <c r="T80" s="4"/>
    </row>
    <row r="81" customFormat="false" ht="34.5" hidden="false" customHeight="true" outlineLevel="0" collapsed="false">
      <c r="A81" s="3" t="n">
        <v>195</v>
      </c>
      <c r="B81" s="3" t="n">
        <v>9</v>
      </c>
      <c r="C81" s="4" t="n">
        <v>46328</v>
      </c>
      <c r="D81" s="3" t="s">
        <v>709</v>
      </c>
      <c r="E81" s="3" t="s">
        <v>172</v>
      </c>
      <c r="F81" s="3" t="s">
        <v>710</v>
      </c>
      <c r="G81" s="3" t="s">
        <v>710</v>
      </c>
      <c r="H81" s="3" t="s">
        <v>711</v>
      </c>
      <c r="I81" s="3" t="n">
        <f aca="false">LEN(H81)</f>
        <v>59</v>
      </c>
      <c r="J81" s="3" t="s">
        <v>712</v>
      </c>
      <c r="K81" s="3" t="n">
        <f aca="false">LEN(J81)</f>
        <v>144</v>
      </c>
      <c r="L81" s="3" t="s">
        <v>713</v>
      </c>
      <c r="M81" s="3" t="s">
        <v>714</v>
      </c>
      <c r="N81" s="3" t="s">
        <v>178</v>
      </c>
      <c r="O81" s="3" t="s">
        <v>179</v>
      </c>
      <c r="P81" s="3" t="s">
        <v>715</v>
      </c>
      <c r="Q81" s="5" t="n">
        <v>9280</v>
      </c>
      <c r="R81" s="3" t="s">
        <v>716</v>
      </c>
      <c r="S81" s="3" t="s">
        <v>32</v>
      </c>
      <c r="T81" s="4"/>
    </row>
    <row r="82" customFormat="false" ht="34.5" hidden="false" customHeight="true" outlineLevel="0" collapsed="false">
      <c r="A82" s="3" t="n">
        <v>152</v>
      </c>
      <c r="B82" s="3" t="n">
        <v>10</v>
      </c>
      <c r="C82" s="4" t="n">
        <v>46329</v>
      </c>
      <c r="D82" s="3" t="s">
        <v>717</v>
      </c>
      <c r="E82" s="3" t="s">
        <v>518</v>
      </c>
      <c r="F82" s="3" t="s">
        <v>718</v>
      </c>
      <c r="G82" s="3" t="s">
        <v>718</v>
      </c>
      <c r="H82" s="3" t="s">
        <v>719</v>
      </c>
      <c r="I82" s="3" t="n">
        <f aca="false">LEN(H82)</f>
        <v>55</v>
      </c>
      <c r="J82" s="3" t="s">
        <v>720</v>
      </c>
      <c r="K82" s="3" t="n">
        <f aca="false">LEN(J82)</f>
        <v>147</v>
      </c>
      <c r="L82" s="3" t="s">
        <v>721</v>
      </c>
      <c r="M82" s="3" t="s">
        <v>722</v>
      </c>
      <c r="N82" s="3" t="s">
        <v>642</v>
      </c>
      <c r="O82" s="3" t="s">
        <v>29</v>
      </c>
      <c r="P82" s="3" t="s">
        <v>723</v>
      </c>
      <c r="Q82" s="5" t="n">
        <v>4809</v>
      </c>
      <c r="R82" s="3" t="s">
        <v>724</v>
      </c>
      <c r="S82" s="3" t="s">
        <v>32</v>
      </c>
      <c r="T82" s="4"/>
    </row>
    <row r="83" customFormat="false" ht="23.25" hidden="false" customHeight="true" outlineLevel="0" collapsed="false">
      <c r="A83" s="3" t="n">
        <v>169</v>
      </c>
      <c r="B83" s="3" t="n">
        <v>10</v>
      </c>
      <c r="C83" s="4" t="n">
        <v>46329</v>
      </c>
      <c r="D83" s="3" t="s">
        <v>725</v>
      </c>
      <c r="E83" s="3" t="s">
        <v>34</v>
      </c>
      <c r="F83" s="3" t="s">
        <v>726</v>
      </c>
      <c r="G83" s="3" t="s">
        <v>726</v>
      </c>
      <c r="H83" s="3" t="s">
        <v>727</v>
      </c>
      <c r="I83" s="3" t="n">
        <f aca="false">LEN(H83)</f>
        <v>53</v>
      </c>
      <c r="J83" s="3" t="s">
        <v>728</v>
      </c>
      <c r="K83" s="3" t="n">
        <f aca="false">LEN(J83)</f>
        <v>141</v>
      </c>
      <c r="L83" s="3" t="s">
        <v>729</v>
      </c>
      <c r="M83" s="3" t="s">
        <v>730</v>
      </c>
      <c r="N83" s="3" t="s">
        <v>40</v>
      </c>
      <c r="O83" s="3" t="s">
        <v>29</v>
      </c>
      <c r="P83" s="3" t="s">
        <v>731</v>
      </c>
      <c r="Q83" s="5" t="n">
        <v>4158</v>
      </c>
      <c r="R83" s="3" t="s">
        <v>732</v>
      </c>
      <c r="S83" s="3" t="s">
        <v>32</v>
      </c>
      <c r="T83" s="4"/>
    </row>
    <row r="84" customFormat="false" ht="34.5" hidden="false" customHeight="true" outlineLevel="0" collapsed="false">
      <c r="A84" s="3" t="n">
        <v>172</v>
      </c>
      <c r="B84" s="3" t="n">
        <v>10</v>
      </c>
      <c r="C84" s="4" t="n">
        <v>46329</v>
      </c>
      <c r="D84" s="3" t="s">
        <v>733</v>
      </c>
      <c r="E84" s="3" t="s">
        <v>34</v>
      </c>
      <c r="F84" s="3" t="s">
        <v>734</v>
      </c>
      <c r="G84" s="3" t="s">
        <v>735</v>
      </c>
      <c r="H84" s="3" t="s">
        <v>736</v>
      </c>
      <c r="I84" s="3" t="n">
        <f aca="false">LEN(H84)</f>
        <v>57</v>
      </c>
      <c r="J84" s="3" t="s">
        <v>737</v>
      </c>
      <c r="K84" s="3" t="n">
        <f aca="false">LEN(J84)</f>
        <v>146</v>
      </c>
      <c r="L84" s="3" t="s">
        <v>738</v>
      </c>
      <c r="M84" s="3" t="s">
        <v>739</v>
      </c>
      <c r="N84" s="3" t="s">
        <v>40</v>
      </c>
      <c r="O84" s="3" t="s">
        <v>29</v>
      </c>
      <c r="P84" s="3" t="s">
        <v>740</v>
      </c>
      <c r="Q84" s="5" t="n">
        <v>5594</v>
      </c>
      <c r="R84" s="3" t="s">
        <v>741</v>
      </c>
      <c r="S84" s="3" t="s">
        <v>32</v>
      </c>
      <c r="T84" s="4"/>
    </row>
    <row r="85" customFormat="false" ht="23.25" hidden="false" customHeight="true" outlineLevel="0" collapsed="false">
      <c r="A85" s="3" t="n">
        <v>173</v>
      </c>
      <c r="B85" s="3" t="n">
        <v>10</v>
      </c>
      <c r="C85" s="4" t="n">
        <v>46329</v>
      </c>
      <c r="D85" s="3" t="s">
        <v>742</v>
      </c>
      <c r="E85" s="3" t="s">
        <v>34</v>
      </c>
      <c r="F85" s="3" t="s">
        <v>743</v>
      </c>
      <c r="G85" s="3" t="s">
        <v>744</v>
      </c>
      <c r="H85" s="3" t="s">
        <v>745</v>
      </c>
      <c r="I85" s="3" t="n">
        <f aca="false">LEN(H85)</f>
        <v>59</v>
      </c>
      <c r="J85" s="3" t="s">
        <v>746</v>
      </c>
      <c r="K85" s="3" t="n">
        <f aca="false">LEN(J85)</f>
        <v>145</v>
      </c>
      <c r="L85" s="3" t="s">
        <v>747</v>
      </c>
      <c r="M85" s="3" t="s">
        <v>748</v>
      </c>
      <c r="N85" s="3" t="s">
        <v>40</v>
      </c>
      <c r="O85" s="3" t="s">
        <v>29</v>
      </c>
      <c r="P85" s="3" t="s">
        <v>749</v>
      </c>
      <c r="Q85" s="5" t="n">
        <v>6040</v>
      </c>
      <c r="R85" s="3" t="s">
        <v>750</v>
      </c>
      <c r="S85" s="3" t="s">
        <v>32</v>
      </c>
      <c r="T85" s="4"/>
    </row>
    <row r="86" customFormat="false" ht="34.5" hidden="false" customHeight="true" outlineLevel="0" collapsed="false">
      <c r="A86" s="3" t="n">
        <v>174</v>
      </c>
      <c r="B86" s="3" t="n">
        <v>10</v>
      </c>
      <c r="C86" s="4" t="n">
        <v>46329</v>
      </c>
      <c r="D86" s="3" t="s">
        <v>751</v>
      </c>
      <c r="E86" s="3" t="s">
        <v>34</v>
      </c>
      <c r="F86" s="3" t="s">
        <v>752</v>
      </c>
      <c r="G86" s="3" t="s">
        <v>753</v>
      </c>
      <c r="H86" s="3" t="s">
        <v>754</v>
      </c>
      <c r="I86" s="3" t="n">
        <f aca="false">LEN(H86)</f>
        <v>56</v>
      </c>
      <c r="J86" s="3" t="s">
        <v>755</v>
      </c>
      <c r="K86" s="3" t="n">
        <f aca="false">LEN(J86)</f>
        <v>151</v>
      </c>
      <c r="L86" s="3" t="s">
        <v>756</v>
      </c>
      <c r="M86" s="3" t="s">
        <v>757</v>
      </c>
      <c r="N86" s="3" t="s">
        <v>40</v>
      </c>
      <c r="O86" s="3" t="s">
        <v>29</v>
      </c>
      <c r="P86" s="3" t="s">
        <v>758</v>
      </c>
      <c r="Q86" s="5" t="n">
        <v>6068</v>
      </c>
      <c r="R86" s="3" t="s">
        <v>759</v>
      </c>
      <c r="S86" s="3" t="s">
        <v>32</v>
      </c>
      <c r="T86" s="4"/>
    </row>
    <row r="87" customFormat="false" ht="34.5" hidden="false" customHeight="true" outlineLevel="0" collapsed="false">
      <c r="A87" s="3" t="n">
        <v>175</v>
      </c>
      <c r="B87" s="3" t="n">
        <v>10</v>
      </c>
      <c r="C87" s="4" t="n">
        <v>46329</v>
      </c>
      <c r="D87" s="3" t="s">
        <v>760</v>
      </c>
      <c r="E87" s="3" t="s">
        <v>34</v>
      </c>
      <c r="F87" s="3" t="s">
        <v>761</v>
      </c>
      <c r="G87" s="3" t="s">
        <v>762</v>
      </c>
      <c r="H87" s="3" t="s">
        <v>763</v>
      </c>
      <c r="I87" s="3" t="n">
        <f aca="false">LEN(H87)</f>
        <v>57</v>
      </c>
      <c r="J87" s="3" t="s">
        <v>764</v>
      </c>
      <c r="K87" s="3" t="n">
        <f aca="false">LEN(J87)</f>
        <v>151</v>
      </c>
      <c r="L87" s="3" t="s">
        <v>765</v>
      </c>
      <c r="M87" s="3" t="s">
        <v>766</v>
      </c>
      <c r="N87" s="3" t="s">
        <v>40</v>
      </c>
      <c r="O87" s="3" t="s">
        <v>29</v>
      </c>
      <c r="P87" s="3" t="s">
        <v>767</v>
      </c>
      <c r="Q87" s="5" t="n">
        <v>5077</v>
      </c>
      <c r="R87" s="3" t="s">
        <v>768</v>
      </c>
      <c r="S87" s="3" t="s">
        <v>32</v>
      </c>
      <c r="T87" s="4"/>
    </row>
    <row r="88" customFormat="false" ht="34.5" hidden="false" customHeight="true" outlineLevel="0" collapsed="false">
      <c r="A88" s="3" t="n">
        <v>176</v>
      </c>
      <c r="B88" s="3" t="n">
        <v>10</v>
      </c>
      <c r="C88" s="4" t="n">
        <v>46329</v>
      </c>
      <c r="D88" s="3" t="s">
        <v>769</v>
      </c>
      <c r="E88" s="3" t="s">
        <v>770</v>
      </c>
      <c r="F88" s="3" t="s">
        <v>771</v>
      </c>
      <c r="G88" s="3" t="s">
        <v>771</v>
      </c>
      <c r="H88" s="3" t="s">
        <v>772</v>
      </c>
      <c r="I88" s="3" t="n">
        <f aca="false">LEN(H88)</f>
        <v>60</v>
      </c>
      <c r="J88" s="3" t="s">
        <v>773</v>
      </c>
      <c r="K88" s="3" t="n">
        <f aca="false">LEN(J88)</f>
        <v>150</v>
      </c>
      <c r="L88" s="3" t="s">
        <v>774</v>
      </c>
      <c r="M88" s="3" t="s">
        <v>775</v>
      </c>
      <c r="N88" s="3" t="s">
        <v>776</v>
      </c>
      <c r="O88" s="3" t="s">
        <v>179</v>
      </c>
      <c r="P88" s="3" t="s">
        <v>777</v>
      </c>
      <c r="Q88" s="5" t="n">
        <v>8969</v>
      </c>
      <c r="R88" s="3" t="s">
        <v>778</v>
      </c>
      <c r="S88" s="3" t="s">
        <v>32</v>
      </c>
      <c r="T88" s="4"/>
    </row>
    <row r="89" customFormat="false" ht="34.5" hidden="false" customHeight="true" outlineLevel="0" collapsed="false">
      <c r="A89" s="3" t="n">
        <v>177</v>
      </c>
      <c r="B89" s="3" t="n">
        <v>10</v>
      </c>
      <c r="C89" s="4" t="n">
        <v>46329</v>
      </c>
      <c r="D89" s="3" t="s">
        <v>779</v>
      </c>
      <c r="E89" s="3" t="s">
        <v>770</v>
      </c>
      <c r="F89" s="3" t="s">
        <v>780</v>
      </c>
      <c r="G89" s="3" t="s">
        <v>780</v>
      </c>
      <c r="H89" s="3" t="s">
        <v>781</v>
      </c>
      <c r="I89" s="3" t="n">
        <f aca="false">LEN(H89)</f>
        <v>54</v>
      </c>
      <c r="J89" s="3" t="s">
        <v>782</v>
      </c>
      <c r="K89" s="3" t="n">
        <f aca="false">LEN(J89)</f>
        <v>149</v>
      </c>
      <c r="L89" s="3" t="s">
        <v>783</v>
      </c>
      <c r="M89" s="3" t="s">
        <v>784</v>
      </c>
      <c r="N89" s="3" t="s">
        <v>776</v>
      </c>
      <c r="O89" s="3" t="s">
        <v>179</v>
      </c>
      <c r="P89" s="3" t="s">
        <v>785</v>
      </c>
      <c r="Q89" s="5" t="n">
        <v>8081</v>
      </c>
      <c r="R89" s="3" t="s">
        <v>786</v>
      </c>
      <c r="S89" s="3" t="s">
        <v>32</v>
      </c>
      <c r="T89" s="4"/>
    </row>
    <row r="90" customFormat="false" ht="34.5" hidden="false" customHeight="true" outlineLevel="0" collapsed="false">
      <c r="A90" s="3" t="n">
        <v>178</v>
      </c>
      <c r="B90" s="3" t="n">
        <v>10</v>
      </c>
      <c r="C90" s="4" t="n">
        <v>46329</v>
      </c>
      <c r="D90" s="3" t="s">
        <v>787</v>
      </c>
      <c r="E90" s="3" t="s">
        <v>770</v>
      </c>
      <c r="F90" s="3" t="s">
        <v>788</v>
      </c>
      <c r="G90" s="3" t="s">
        <v>788</v>
      </c>
      <c r="H90" s="3" t="s">
        <v>789</v>
      </c>
      <c r="I90" s="3" t="n">
        <f aca="false">LEN(H90)</f>
        <v>58</v>
      </c>
      <c r="J90" s="3" t="s">
        <v>790</v>
      </c>
      <c r="K90" s="3" t="n">
        <f aca="false">LEN(J90)</f>
        <v>155</v>
      </c>
      <c r="L90" s="3" t="s">
        <v>791</v>
      </c>
      <c r="M90" s="3" t="s">
        <v>792</v>
      </c>
      <c r="N90" s="3" t="s">
        <v>776</v>
      </c>
      <c r="O90" s="3" t="s">
        <v>179</v>
      </c>
      <c r="P90" s="3" t="s">
        <v>793</v>
      </c>
      <c r="Q90" s="5" t="n">
        <v>7733</v>
      </c>
      <c r="R90" s="3" t="s">
        <v>794</v>
      </c>
      <c r="S90" s="3" t="s">
        <v>32</v>
      </c>
      <c r="T90" s="4"/>
    </row>
    <row r="91" customFormat="false" ht="34.5" hidden="false" customHeight="true" outlineLevel="0" collapsed="false">
      <c r="A91" s="3" t="n">
        <v>179</v>
      </c>
      <c r="B91" s="3" t="n">
        <v>10</v>
      </c>
      <c r="C91" s="4" t="n">
        <v>46329</v>
      </c>
      <c r="D91" s="3" t="s">
        <v>795</v>
      </c>
      <c r="E91" s="3" t="s">
        <v>770</v>
      </c>
      <c r="F91" s="3" t="s">
        <v>796</v>
      </c>
      <c r="G91" s="3" t="s">
        <v>796</v>
      </c>
      <c r="H91" s="3" t="s">
        <v>797</v>
      </c>
      <c r="I91" s="3" t="n">
        <f aca="false">LEN(H91)</f>
        <v>58</v>
      </c>
      <c r="J91" s="3" t="s">
        <v>798</v>
      </c>
      <c r="K91" s="3" t="n">
        <f aca="false">LEN(J91)</f>
        <v>154</v>
      </c>
      <c r="L91" s="3" t="s">
        <v>799</v>
      </c>
      <c r="M91" s="3" t="s">
        <v>800</v>
      </c>
      <c r="N91" s="3" t="s">
        <v>776</v>
      </c>
      <c r="O91" s="3" t="s">
        <v>179</v>
      </c>
      <c r="P91" s="3" t="s">
        <v>801</v>
      </c>
      <c r="Q91" s="5" t="n">
        <v>7222</v>
      </c>
      <c r="R91" s="3" t="s">
        <v>802</v>
      </c>
      <c r="S91" s="3" t="s">
        <v>32</v>
      </c>
      <c r="T91" s="4"/>
    </row>
    <row r="92" customFormat="false" ht="34.5" hidden="false" customHeight="true" outlineLevel="0" collapsed="false">
      <c r="A92" s="3" t="n">
        <v>180</v>
      </c>
      <c r="B92" s="3" t="n">
        <v>10</v>
      </c>
      <c r="C92" s="4" t="n">
        <v>46329</v>
      </c>
      <c r="D92" s="3" t="s">
        <v>803</v>
      </c>
      <c r="E92" s="3" t="s">
        <v>770</v>
      </c>
      <c r="F92" s="3" t="s">
        <v>804</v>
      </c>
      <c r="G92" s="3" t="s">
        <v>804</v>
      </c>
      <c r="H92" s="3" t="s">
        <v>805</v>
      </c>
      <c r="I92" s="3" t="n">
        <f aca="false">LEN(H92)</f>
        <v>59</v>
      </c>
      <c r="J92" s="3" t="s">
        <v>806</v>
      </c>
      <c r="K92" s="3" t="n">
        <f aca="false">LEN(J92)</f>
        <v>149</v>
      </c>
      <c r="L92" s="3" t="s">
        <v>807</v>
      </c>
      <c r="M92" s="3" t="s">
        <v>808</v>
      </c>
      <c r="N92" s="3" t="s">
        <v>776</v>
      </c>
      <c r="O92" s="3" t="s">
        <v>179</v>
      </c>
      <c r="P92" s="3" t="s">
        <v>809</v>
      </c>
      <c r="Q92" s="5" t="n">
        <v>7319</v>
      </c>
      <c r="R92" s="3" t="s">
        <v>810</v>
      </c>
      <c r="S92" s="3" t="s">
        <v>32</v>
      </c>
      <c r="T92" s="4"/>
    </row>
    <row r="93" customFormat="false" ht="34.5" hidden="false" customHeight="true" outlineLevel="0" collapsed="false">
      <c r="A93" s="3" t="n">
        <v>181</v>
      </c>
      <c r="B93" s="3" t="n">
        <v>10</v>
      </c>
      <c r="C93" s="4" t="n">
        <v>46329</v>
      </c>
      <c r="D93" s="3" t="s">
        <v>811</v>
      </c>
      <c r="E93" s="3" t="s">
        <v>770</v>
      </c>
      <c r="F93" s="3" t="s">
        <v>812</v>
      </c>
      <c r="G93" s="3" t="s">
        <v>812</v>
      </c>
      <c r="H93" s="3" t="s">
        <v>813</v>
      </c>
      <c r="I93" s="3" t="n">
        <f aca="false">LEN(H93)</f>
        <v>57</v>
      </c>
      <c r="J93" s="3" t="s">
        <v>814</v>
      </c>
      <c r="K93" s="3" t="n">
        <f aca="false">LEN(J93)</f>
        <v>147</v>
      </c>
      <c r="L93" s="3" t="s">
        <v>815</v>
      </c>
      <c r="M93" s="3" t="s">
        <v>816</v>
      </c>
      <c r="N93" s="3" t="s">
        <v>817</v>
      </c>
      <c r="O93" s="3" t="s">
        <v>179</v>
      </c>
      <c r="P93" s="3" t="s">
        <v>818</v>
      </c>
      <c r="Q93" s="5" t="n">
        <v>7098</v>
      </c>
      <c r="R93" s="3" t="s">
        <v>819</v>
      </c>
      <c r="S93" s="3" t="s">
        <v>32</v>
      </c>
      <c r="T93" s="4"/>
    </row>
    <row r="94" customFormat="false" ht="34.5" hidden="false" customHeight="true" outlineLevel="0" collapsed="false">
      <c r="A94" s="3" t="n">
        <v>182</v>
      </c>
      <c r="B94" s="3" t="n">
        <v>10</v>
      </c>
      <c r="C94" s="4" t="n">
        <v>46329</v>
      </c>
      <c r="D94" s="3" t="s">
        <v>820</v>
      </c>
      <c r="E94" s="3" t="s">
        <v>493</v>
      </c>
      <c r="F94" s="3" t="s">
        <v>821</v>
      </c>
      <c r="G94" s="3" t="s">
        <v>821</v>
      </c>
      <c r="H94" s="3" t="s">
        <v>822</v>
      </c>
      <c r="I94" s="3" t="n">
        <f aca="false">LEN(H94)</f>
        <v>54</v>
      </c>
      <c r="J94" s="3" t="s">
        <v>823</v>
      </c>
      <c r="K94" s="3" t="n">
        <f aca="false">LEN(J94)</f>
        <v>151</v>
      </c>
      <c r="L94" s="3" t="s">
        <v>824</v>
      </c>
      <c r="M94" s="3" t="s">
        <v>825</v>
      </c>
      <c r="N94" s="3" t="s">
        <v>826</v>
      </c>
      <c r="O94" s="3" t="s">
        <v>179</v>
      </c>
      <c r="P94" s="3" t="s">
        <v>827</v>
      </c>
      <c r="Q94" s="5" t="n">
        <v>7720</v>
      </c>
      <c r="R94" s="3" t="s">
        <v>828</v>
      </c>
      <c r="S94" s="3" t="s">
        <v>32</v>
      </c>
      <c r="T94" s="4"/>
    </row>
    <row r="95" customFormat="false" ht="34.5" hidden="false" customHeight="true" outlineLevel="0" collapsed="false">
      <c r="A95" s="3" t="n">
        <v>183</v>
      </c>
      <c r="B95" s="3" t="n">
        <v>10</v>
      </c>
      <c r="C95" s="4" t="n">
        <v>46329</v>
      </c>
      <c r="D95" s="3" t="s">
        <v>829</v>
      </c>
      <c r="E95" s="3" t="s">
        <v>493</v>
      </c>
      <c r="F95" s="3" t="s">
        <v>830</v>
      </c>
      <c r="G95" s="3" t="s">
        <v>830</v>
      </c>
      <c r="H95" s="3" t="s">
        <v>831</v>
      </c>
      <c r="I95" s="3" t="n">
        <f aca="false">LEN(H95)</f>
        <v>54</v>
      </c>
      <c r="J95" s="3" t="s">
        <v>832</v>
      </c>
      <c r="K95" s="3" t="n">
        <f aca="false">LEN(J95)</f>
        <v>153</v>
      </c>
      <c r="L95" s="3" t="s">
        <v>833</v>
      </c>
      <c r="M95" s="3" t="s">
        <v>834</v>
      </c>
      <c r="N95" s="3" t="s">
        <v>826</v>
      </c>
      <c r="O95" s="3" t="s">
        <v>179</v>
      </c>
      <c r="P95" s="3" t="s">
        <v>827</v>
      </c>
      <c r="Q95" s="5" t="n">
        <v>7267</v>
      </c>
      <c r="R95" s="3" t="s">
        <v>835</v>
      </c>
      <c r="S95" s="3" t="s">
        <v>32</v>
      </c>
      <c r="T95" s="4"/>
    </row>
    <row r="96" customFormat="false" ht="34.5" hidden="false" customHeight="true" outlineLevel="0" collapsed="false">
      <c r="A96" s="3" t="n">
        <v>184</v>
      </c>
      <c r="B96" s="3" t="n">
        <v>10</v>
      </c>
      <c r="C96" s="4" t="n">
        <v>46329</v>
      </c>
      <c r="D96" s="3" t="s">
        <v>836</v>
      </c>
      <c r="E96" s="3" t="s">
        <v>493</v>
      </c>
      <c r="F96" s="3" t="s">
        <v>837</v>
      </c>
      <c r="G96" s="3" t="s">
        <v>837</v>
      </c>
      <c r="H96" s="3" t="s">
        <v>838</v>
      </c>
      <c r="I96" s="3" t="n">
        <f aca="false">LEN(H96)</f>
        <v>50</v>
      </c>
      <c r="J96" s="3" t="s">
        <v>839</v>
      </c>
      <c r="K96" s="3" t="n">
        <f aca="false">LEN(J96)</f>
        <v>149</v>
      </c>
      <c r="L96" s="3" t="s">
        <v>840</v>
      </c>
      <c r="M96" s="3" t="s">
        <v>841</v>
      </c>
      <c r="N96" s="3" t="s">
        <v>826</v>
      </c>
      <c r="O96" s="3" t="s">
        <v>179</v>
      </c>
      <c r="P96" s="3" t="s">
        <v>842</v>
      </c>
      <c r="Q96" s="5" t="n">
        <v>6834</v>
      </c>
      <c r="R96" s="3" t="s">
        <v>843</v>
      </c>
      <c r="S96" s="3" t="s">
        <v>32</v>
      </c>
      <c r="T96" s="4"/>
    </row>
    <row r="97" customFormat="false" ht="34.5" hidden="false" customHeight="true" outlineLevel="0" collapsed="false">
      <c r="A97" s="3" t="n">
        <v>185</v>
      </c>
      <c r="B97" s="3" t="n">
        <v>10</v>
      </c>
      <c r="C97" s="4" t="n">
        <v>46329</v>
      </c>
      <c r="D97" s="3" t="s">
        <v>844</v>
      </c>
      <c r="E97" s="3" t="s">
        <v>493</v>
      </c>
      <c r="F97" s="3" t="s">
        <v>845</v>
      </c>
      <c r="G97" s="3" t="s">
        <v>845</v>
      </c>
      <c r="H97" s="3" t="s">
        <v>846</v>
      </c>
      <c r="I97" s="3" t="n">
        <f aca="false">LEN(H97)</f>
        <v>53</v>
      </c>
      <c r="J97" s="3" t="s">
        <v>847</v>
      </c>
      <c r="K97" s="3" t="n">
        <f aca="false">LEN(J97)</f>
        <v>151</v>
      </c>
      <c r="L97" s="3" t="s">
        <v>848</v>
      </c>
      <c r="M97" s="3" t="s">
        <v>849</v>
      </c>
      <c r="N97" s="3" t="s">
        <v>826</v>
      </c>
      <c r="O97" s="3" t="s">
        <v>29</v>
      </c>
      <c r="P97" s="3" t="s">
        <v>850</v>
      </c>
      <c r="Q97" s="5" t="n">
        <v>6228</v>
      </c>
      <c r="R97" s="3" t="s">
        <v>851</v>
      </c>
      <c r="S97" s="3" t="s">
        <v>32</v>
      </c>
      <c r="T97" s="4"/>
    </row>
    <row r="98" customFormat="false" ht="23.25" hidden="false" customHeight="true" outlineLevel="0" collapsed="false">
      <c r="A98" s="3" t="n">
        <v>196</v>
      </c>
      <c r="B98" s="3" t="n">
        <v>10</v>
      </c>
      <c r="C98" s="4" t="n">
        <v>46329</v>
      </c>
      <c r="D98" s="3" t="s">
        <v>852</v>
      </c>
      <c r="E98" s="3" t="s">
        <v>199</v>
      </c>
      <c r="F98" s="3" t="s">
        <v>853</v>
      </c>
      <c r="G98" s="3" t="s">
        <v>853</v>
      </c>
      <c r="H98" s="3" t="s">
        <v>854</v>
      </c>
      <c r="I98" s="3" t="n">
        <f aca="false">LEN(H98)</f>
        <v>58</v>
      </c>
      <c r="J98" s="3" t="s">
        <v>855</v>
      </c>
      <c r="K98" s="3" t="n">
        <f aca="false">LEN(J98)</f>
        <v>142</v>
      </c>
      <c r="L98" s="3" t="s">
        <v>856</v>
      </c>
      <c r="M98" s="3" t="s">
        <v>857</v>
      </c>
      <c r="N98" s="3" t="s">
        <v>178</v>
      </c>
      <c r="O98" s="3" t="s">
        <v>179</v>
      </c>
      <c r="P98" s="3" t="s">
        <v>858</v>
      </c>
      <c r="Q98" s="5" t="n">
        <v>10787</v>
      </c>
      <c r="R98" s="3" t="s">
        <v>859</v>
      </c>
      <c r="S98" s="3" t="s">
        <v>32</v>
      </c>
      <c r="T98" s="4"/>
    </row>
    <row r="99" customFormat="false" ht="34.5" hidden="false" customHeight="true" outlineLevel="0" collapsed="false">
      <c r="A99" s="3" t="n">
        <v>197</v>
      </c>
      <c r="B99" s="3" t="n">
        <v>10</v>
      </c>
      <c r="C99" s="4" t="n">
        <v>46329</v>
      </c>
      <c r="D99" s="3" t="s">
        <v>860</v>
      </c>
      <c r="E99" s="3" t="s">
        <v>199</v>
      </c>
      <c r="F99" s="3" t="s">
        <v>861</v>
      </c>
      <c r="G99" s="3" t="s">
        <v>861</v>
      </c>
      <c r="H99" s="3" t="s">
        <v>862</v>
      </c>
      <c r="I99" s="3" t="n">
        <f aca="false">LEN(H99)</f>
        <v>56</v>
      </c>
      <c r="J99" s="3" t="s">
        <v>863</v>
      </c>
      <c r="K99" s="3" t="n">
        <f aca="false">LEN(J99)</f>
        <v>154</v>
      </c>
      <c r="L99" s="3" t="s">
        <v>864</v>
      </c>
      <c r="M99" s="3" t="s">
        <v>865</v>
      </c>
      <c r="N99" s="3" t="s">
        <v>178</v>
      </c>
      <c r="O99" s="3" t="s">
        <v>179</v>
      </c>
      <c r="P99" s="3" t="s">
        <v>205</v>
      </c>
      <c r="Q99" s="5" t="n">
        <v>10399</v>
      </c>
      <c r="R99" s="3" t="s">
        <v>866</v>
      </c>
      <c r="S99" s="3" t="s">
        <v>32</v>
      </c>
      <c r="T99" s="4"/>
    </row>
    <row r="100" customFormat="false" ht="34.5" hidden="false" customHeight="true" outlineLevel="0" collapsed="false">
      <c r="A100" s="3" t="n">
        <v>200</v>
      </c>
      <c r="B100" s="3" t="n">
        <v>10</v>
      </c>
      <c r="C100" s="4" t="n">
        <v>46329</v>
      </c>
      <c r="D100" s="3" t="s">
        <v>867</v>
      </c>
      <c r="E100" s="3" t="s">
        <v>199</v>
      </c>
      <c r="F100" s="3" t="s">
        <v>868</v>
      </c>
      <c r="G100" s="3" t="s">
        <v>868</v>
      </c>
      <c r="H100" s="3" t="s">
        <v>869</v>
      </c>
      <c r="I100" s="3" t="n">
        <f aca="false">LEN(H100)</f>
        <v>56</v>
      </c>
      <c r="J100" s="3" t="s">
        <v>870</v>
      </c>
      <c r="K100" s="3" t="n">
        <f aca="false">LEN(J100)</f>
        <v>153</v>
      </c>
      <c r="L100" s="3" t="s">
        <v>871</v>
      </c>
      <c r="M100" s="3" t="s">
        <v>872</v>
      </c>
      <c r="N100" s="3" t="s">
        <v>178</v>
      </c>
      <c r="O100" s="3" t="s">
        <v>179</v>
      </c>
      <c r="P100" s="3" t="s">
        <v>873</v>
      </c>
      <c r="Q100" s="5" t="n">
        <v>8186</v>
      </c>
      <c r="R100" s="3" t="s">
        <v>874</v>
      </c>
      <c r="S100" s="3" t="s">
        <v>32</v>
      </c>
      <c r="T100" s="4"/>
    </row>
    <row r="101" customFormat="false" ht="34.5" hidden="false" customHeight="true" outlineLevel="0" collapsed="false">
      <c r="A101" s="3" t="n">
        <v>201</v>
      </c>
      <c r="B101" s="3" t="n">
        <v>10</v>
      </c>
      <c r="C101" s="4" t="n">
        <v>46329</v>
      </c>
      <c r="D101" s="3" t="s">
        <v>875</v>
      </c>
      <c r="E101" s="3" t="s">
        <v>876</v>
      </c>
      <c r="F101" s="3" t="s">
        <v>877</v>
      </c>
      <c r="G101" s="3" t="s">
        <v>877</v>
      </c>
      <c r="H101" s="3" t="s">
        <v>878</v>
      </c>
      <c r="I101" s="3" t="n">
        <f aca="false">LEN(H101)</f>
        <v>53</v>
      </c>
      <c r="J101" s="3" t="s">
        <v>879</v>
      </c>
      <c r="K101" s="3" t="n">
        <f aca="false">LEN(J101)</f>
        <v>153</v>
      </c>
      <c r="L101" s="3" t="s">
        <v>880</v>
      </c>
      <c r="M101" s="3" t="s">
        <v>881</v>
      </c>
      <c r="N101" s="3" t="s">
        <v>882</v>
      </c>
      <c r="O101" s="3" t="s">
        <v>29</v>
      </c>
      <c r="P101" s="3" t="s">
        <v>883</v>
      </c>
      <c r="Q101" s="5" t="n">
        <v>6250</v>
      </c>
      <c r="R101" s="3" t="s">
        <v>884</v>
      </c>
      <c r="S101" s="3" t="s">
        <v>32</v>
      </c>
      <c r="T101" s="4"/>
    </row>
  </sheetData>
  <autoFilter ref="A1:T101"/>
  <dataValidations count="1">
    <dataValidation allowBlank="false" errorStyle="stop" operator="between" showDropDown="false" showErrorMessage="false" showInputMessage="false" sqref="S2:S101" type="list">
      <formula1>"Not started,In progress,Live"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8"/>
    <col collapsed="false" customWidth="true" hidden="false" outlineLevel="0" max="3" min="3" style="1" width="60"/>
    <col collapsed="false" customWidth="true" hidden="false" outlineLevel="0" max="4" min="4" style="1" width="14"/>
    <col collapsed="false" customWidth="true" hidden="false" outlineLevel="0" max="5" min="5" style="1" width="13"/>
    <col collapsed="false" customWidth="true" hidden="false" outlineLevel="0" max="6" min="6" style="1" width="11"/>
    <col collapsed="false" customWidth="true" hidden="false" outlineLevel="0" max="7" min="7" style="1" width="12"/>
  </cols>
  <sheetData>
    <row r="1" customFormat="false" ht="15" hidden="false" customHeight="true" outlineLevel="0" collapsed="false">
      <c r="A1" s="2" t="s">
        <v>1</v>
      </c>
      <c r="B1" s="2" t="s">
        <v>885</v>
      </c>
      <c r="C1" s="2" t="s">
        <v>886</v>
      </c>
      <c r="D1" s="2" t="s">
        <v>887</v>
      </c>
      <c r="E1" s="2" t="s">
        <v>888</v>
      </c>
      <c r="F1" s="2" t="s">
        <v>889</v>
      </c>
      <c r="G1" s="2" t="s">
        <v>16</v>
      </c>
    </row>
    <row r="2" customFormat="false" ht="23.25" hidden="false" customHeight="true" outlineLevel="0" collapsed="false">
      <c r="A2" s="3" t="s">
        <v>890</v>
      </c>
      <c r="B2" s="6" t="n">
        <v>46322</v>
      </c>
      <c r="C2" s="3" t="s">
        <v>891</v>
      </c>
      <c r="D2" s="3" t="n">
        <f aca="false">COUNTIF('First 101 pages (latest)'!A$2:A$102,B2)</f>
        <v>52</v>
      </c>
      <c r="E2" s="3" t="n">
        <f aca="false">COUNTIFS('First 101 pages (latest)'!A$2:A$102,B2,'First 101 pages (latest)'!M$2:M$102,"Done")</f>
        <v>52</v>
      </c>
      <c r="F2" s="3" t="n">
        <f aca="false">D2-E2</f>
        <v>0</v>
      </c>
      <c r="G2" s="5" t="n">
        <f aca="false">SUMIF('First 101 pages (latest)'!A$2:A$102,B2,'First 101 pages (latest)'!L$2:L$102)</f>
        <v>313828</v>
      </c>
    </row>
    <row r="3" customFormat="false" ht="15" hidden="false" customHeight="true" outlineLevel="0" collapsed="false">
      <c r="A3" s="3" t="s">
        <v>892</v>
      </c>
      <c r="B3" s="6" t="n">
        <v>46323</v>
      </c>
      <c r="C3" s="3" t="s">
        <v>893</v>
      </c>
      <c r="D3" s="3" t="n">
        <f aca="false">COUNTIF('First 101 pages (latest)'!A$2:A$102,B3)</f>
        <v>49</v>
      </c>
      <c r="E3" s="3" t="n">
        <f aca="false">COUNTIFS('First 101 pages (latest)'!A$2:A$102,B3,'First 101 pages (latest)'!M$2:M$102,"Done")</f>
        <v>49</v>
      </c>
      <c r="F3" s="3" t="n">
        <f aca="false">D3-E3</f>
        <v>0</v>
      </c>
      <c r="G3" s="5" t="n">
        <f aca="false">SUMIF('First 101 pages (latest)'!A$2:A$102,B3,'First 101 pages (latest)'!L$2:L$102)</f>
        <v>409793</v>
      </c>
    </row>
    <row r="4" customFormat="false" ht="15" hidden="false" customHeight="true" outlineLevel="0" collapsed="false">
      <c r="A4" s="3" t="s">
        <v>894</v>
      </c>
      <c r="B4" s="6" t="n">
        <v>46324</v>
      </c>
      <c r="C4" s="3" t="s">
        <v>895</v>
      </c>
      <c r="D4" s="3" t="n">
        <v>0</v>
      </c>
      <c r="E4" s="3" t="n">
        <v>0</v>
      </c>
      <c r="F4" s="3" t="n">
        <v>0</v>
      </c>
      <c r="G4" s="5" t="n">
        <v>0</v>
      </c>
    </row>
    <row r="5" customFormat="false" ht="15" hidden="false" customHeight="true" outlineLevel="0" collapsed="false">
      <c r="A5" s="3" t="n">
        <v>6</v>
      </c>
      <c r="B5" s="6" t="n">
        <v>46325</v>
      </c>
      <c r="C5" s="3" t="s">
        <v>896</v>
      </c>
      <c r="D5" s="3" t="n">
        <f aca="false">COUNTIF(Pages!B$2:B$101,A5)</f>
        <v>20</v>
      </c>
      <c r="E5" s="3" t="n">
        <f aca="false">COUNTIFS(Pages!B$2:B$101,A5,Pages!S$2:S$101,"Live")</f>
        <v>0</v>
      </c>
      <c r="F5" s="3" t="n">
        <f aca="false">D5-E5</f>
        <v>20</v>
      </c>
      <c r="G5" s="5" t="n">
        <f aca="false">SUMIF(Pages!B$2:B$101,A5,Pages!Q$2:Q$101)</f>
        <v>142771</v>
      </c>
    </row>
    <row r="6" customFormat="false" ht="15" hidden="false" customHeight="true" outlineLevel="0" collapsed="false">
      <c r="A6" s="3" t="n">
        <v>7</v>
      </c>
      <c r="B6" s="6" t="n">
        <v>46326</v>
      </c>
      <c r="C6" s="3" t="s">
        <v>896</v>
      </c>
      <c r="D6" s="3" t="n">
        <f aca="false">COUNTIF(Pages!B$2:B$101,A6)</f>
        <v>20</v>
      </c>
      <c r="E6" s="3" t="n">
        <f aca="false">COUNTIFS(Pages!B$2:B$101,A6,Pages!S$2:S$101,"Live")</f>
        <v>0</v>
      </c>
      <c r="F6" s="3" t="n">
        <f aca="false">D6-E6</f>
        <v>20</v>
      </c>
      <c r="G6" s="5" t="n">
        <f aca="false">SUMIF(Pages!B$2:B$101,A6,Pages!Q$2:Q$101)</f>
        <v>135345</v>
      </c>
    </row>
    <row r="7" customFormat="false" ht="15" hidden="false" customHeight="true" outlineLevel="0" collapsed="false">
      <c r="A7" s="3" t="n">
        <v>8</v>
      </c>
      <c r="B7" s="6" t="n">
        <v>46327</v>
      </c>
      <c r="C7" s="3" t="s">
        <v>896</v>
      </c>
      <c r="D7" s="3" t="n">
        <f aca="false">COUNTIF(Pages!B$2:B$101,A7)</f>
        <v>20</v>
      </c>
      <c r="E7" s="3" t="n">
        <f aca="false">COUNTIFS(Pages!B$2:B$101,A7,Pages!S$2:S$101,"Live")</f>
        <v>0</v>
      </c>
      <c r="F7" s="3" t="n">
        <f aca="false">D7-E7</f>
        <v>20</v>
      </c>
      <c r="G7" s="5" t="n">
        <f aca="false">SUMIF(Pages!B$2:B$101,A7,Pages!Q$2:Q$101)</f>
        <v>145918</v>
      </c>
    </row>
    <row r="8" customFormat="false" ht="15" hidden="false" customHeight="true" outlineLevel="0" collapsed="false">
      <c r="A8" s="3" t="n">
        <v>9</v>
      </c>
      <c r="B8" s="6" t="n">
        <v>46328</v>
      </c>
      <c r="C8" s="3" t="s">
        <v>896</v>
      </c>
      <c r="D8" s="3" t="n">
        <f aca="false">COUNTIF(Pages!B$2:B$101,A8)</f>
        <v>20</v>
      </c>
      <c r="E8" s="3" t="n">
        <f aca="false">COUNTIFS(Pages!B$2:B$101,A8,Pages!S$2:S$101,"Live")</f>
        <v>0</v>
      </c>
      <c r="F8" s="3" t="n">
        <f aca="false">D8-E8</f>
        <v>20</v>
      </c>
      <c r="G8" s="5" t="n">
        <f aca="false">SUMIF(Pages!B$2:B$101,A8,Pages!Q$2:Q$101)</f>
        <v>111648</v>
      </c>
    </row>
    <row r="9" customFormat="false" ht="15" hidden="false" customHeight="true" outlineLevel="0" collapsed="false">
      <c r="A9" s="3" t="n">
        <v>10</v>
      </c>
      <c r="B9" s="6" t="n">
        <v>46329</v>
      </c>
      <c r="C9" s="3" t="s">
        <v>896</v>
      </c>
      <c r="D9" s="3" t="n">
        <f aca="false">COUNTIF(Pages!B$2:B$101,A9)</f>
        <v>20</v>
      </c>
      <c r="E9" s="3" t="n">
        <f aca="false">COUNTIFS(Pages!B$2:B$101,A9,Pages!S$2:S$101,"Live")</f>
        <v>0</v>
      </c>
      <c r="F9" s="3" t="n">
        <f aca="false">D9-E9</f>
        <v>20</v>
      </c>
      <c r="G9" s="5" t="n">
        <f aca="false">SUMIF(Pages!B$2:B$101,A9,Pages!Q$2:Q$101)</f>
        <v>141839</v>
      </c>
    </row>
    <row r="10" customFormat="false" ht="15" hidden="false" customHeight="true" outlineLevel="0" collapsed="false">
      <c r="A10" s="3" t="s">
        <v>897</v>
      </c>
      <c r="B10" s="6"/>
      <c r="C10" s="3"/>
      <c r="D10" s="3" t="n">
        <f aca="false">SUM(D2:D9)</f>
        <v>201</v>
      </c>
      <c r="E10" s="3" t="n">
        <f aca="false">SUM(E2:E9)</f>
        <v>101</v>
      </c>
      <c r="F10" s="3" t="n">
        <f aca="false">SUM(F2:F9)</f>
        <v>100</v>
      </c>
      <c r="G10" s="5" t="n">
        <f aca="false">SUM(G2:G9)</f>
        <v>1401142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6"/>
    <col collapsed="false" customWidth="true" hidden="false" outlineLevel="0" max="3" min="3" style="1" width="52"/>
    <col collapsed="false" customWidth="true" hidden="false" outlineLevel="0" max="4" min="4" style="1" width="9"/>
    <col collapsed="false" customWidth="true" hidden="false" outlineLevel="0" max="5" min="5" style="1" width="44"/>
    <col collapsed="false" customWidth="true" hidden="false" outlineLevel="0" max="6" min="6" style="1" width="52"/>
    <col collapsed="false" customWidth="true" hidden="false" outlineLevel="0" max="7" min="7" style="1" width="16"/>
    <col collapsed="false" customWidth="true" hidden="false" outlineLevel="0" max="8" min="8" style="1" width="34"/>
    <col collapsed="false" customWidth="true" hidden="false" outlineLevel="0" max="9" min="9" style="1" width="50"/>
    <col collapsed="false" customWidth="true" hidden="false" outlineLevel="0" max="10" min="10" style="1" width="60"/>
    <col collapsed="false" customWidth="true" hidden="false" outlineLevel="0" max="11" min="11" style="1" width="30"/>
    <col collapsed="false" customWidth="true" hidden="false" outlineLevel="0" max="12" min="12" style="1" width="9"/>
    <col collapsed="false" customWidth="true" hidden="false" outlineLevel="0" max="13" min="13" style="1" width="13"/>
  </cols>
  <sheetData>
    <row r="1" customFormat="false" ht="23.25" hidden="false" customHeight="true" outlineLevel="0" collapsed="false">
      <c r="A1" s="2" t="s">
        <v>898</v>
      </c>
      <c r="B1" s="2" t="s">
        <v>0</v>
      </c>
      <c r="C1" s="2" t="s">
        <v>3</v>
      </c>
      <c r="D1" s="2" t="s">
        <v>899</v>
      </c>
      <c r="E1" s="2" t="s">
        <v>900</v>
      </c>
      <c r="F1" s="2" t="s">
        <v>17</v>
      </c>
      <c r="G1" s="2" t="s">
        <v>4</v>
      </c>
      <c r="H1" s="2" t="s">
        <v>5</v>
      </c>
      <c r="I1" s="2" t="s">
        <v>7</v>
      </c>
      <c r="J1" s="2" t="s">
        <v>9</v>
      </c>
      <c r="K1" s="2" t="s">
        <v>11</v>
      </c>
      <c r="L1" s="2" t="s">
        <v>16</v>
      </c>
      <c r="M1" s="2" t="s">
        <v>18</v>
      </c>
    </row>
    <row r="2" customFormat="false" ht="34.5" hidden="false" customHeight="true" outlineLevel="0" collapsed="false">
      <c r="A2" s="7" t="n">
        <v>46322</v>
      </c>
      <c r="B2" s="3" t="n">
        <v>27</v>
      </c>
      <c r="C2" s="3" t="s">
        <v>901</v>
      </c>
      <c r="D2" s="3" t="s">
        <v>29</v>
      </c>
      <c r="E2" s="3" t="s">
        <v>902</v>
      </c>
      <c r="F2" s="3" t="s">
        <v>903</v>
      </c>
      <c r="G2" s="3" t="s">
        <v>34</v>
      </c>
      <c r="H2" s="3" t="s">
        <v>904</v>
      </c>
      <c r="I2" s="3" t="s">
        <v>905</v>
      </c>
      <c r="J2" s="3" t="s">
        <v>906</v>
      </c>
      <c r="K2" s="3" t="s">
        <v>907</v>
      </c>
      <c r="L2" s="3" t="n">
        <v>8826</v>
      </c>
      <c r="M2" s="3" t="s">
        <v>908</v>
      </c>
    </row>
    <row r="3" customFormat="false" ht="34.5" hidden="false" customHeight="true" outlineLevel="0" collapsed="false">
      <c r="A3" s="7" t="n">
        <v>46322</v>
      </c>
      <c r="B3" s="3" t="n">
        <v>64</v>
      </c>
      <c r="C3" s="3" t="s">
        <v>909</v>
      </c>
      <c r="D3" s="3" t="s">
        <v>29</v>
      </c>
      <c r="E3" s="3" t="s">
        <v>910</v>
      </c>
      <c r="F3" s="3" t="s">
        <v>911</v>
      </c>
      <c r="G3" s="3" t="s">
        <v>172</v>
      </c>
      <c r="H3" s="3" t="s">
        <v>912</v>
      </c>
      <c r="I3" s="3" t="s">
        <v>913</v>
      </c>
      <c r="J3" s="3" t="s">
        <v>914</v>
      </c>
      <c r="K3" s="3" t="s">
        <v>915</v>
      </c>
      <c r="L3" s="3" t="n">
        <v>12564</v>
      </c>
      <c r="M3" s="3" t="s">
        <v>908</v>
      </c>
    </row>
    <row r="4" customFormat="false" ht="34.5" hidden="false" customHeight="true" outlineLevel="0" collapsed="false">
      <c r="A4" s="7" t="n">
        <v>46322</v>
      </c>
      <c r="B4" s="3" t="n">
        <v>97</v>
      </c>
      <c r="C4" s="3" t="s">
        <v>916</v>
      </c>
      <c r="D4" s="3" t="s">
        <v>29</v>
      </c>
      <c r="E4" s="3" t="s">
        <v>917</v>
      </c>
      <c r="F4" s="3" t="s">
        <v>918</v>
      </c>
      <c r="G4" s="3" t="s">
        <v>876</v>
      </c>
      <c r="H4" s="3" t="s">
        <v>919</v>
      </c>
      <c r="I4" s="3" t="s">
        <v>920</v>
      </c>
      <c r="J4" s="3" t="s">
        <v>921</v>
      </c>
      <c r="K4" s="3" t="s">
        <v>922</v>
      </c>
      <c r="L4" s="3" t="n">
        <v>8550</v>
      </c>
      <c r="M4" s="3" t="s">
        <v>908</v>
      </c>
    </row>
    <row r="5" customFormat="false" ht="34.5" hidden="false" customHeight="true" outlineLevel="0" collapsed="false">
      <c r="A5" s="7" t="n">
        <v>46322</v>
      </c>
      <c r="B5" s="3" t="n">
        <v>1</v>
      </c>
      <c r="C5" s="3" t="s">
        <v>923</v>
      </c>
      <c r="D5" s="3" t="s">
        <v>179</v>
      </c>
      <c r="E5" s="3" t="s">
        <v>924</v>
      </c>
      <c r="F5" s="3" t="s">
        <v>925</v>
      </c>
      <c r="G5" s="3" t="s">
        <v>21</v>
      </c>
      <c r="H5" s="3" t="s">
        <v>926</v>
      </c>
      <c r="I5" s="3" t="s">
        <v>927</v>
      </c>
      <c r="J5" s="3" t="s">
        <v>928</v>
      </c>
      <c r="K5" s="3" t="s">
        <v>929</v>
      </c>
      <c r="L5" s="3" t="n">
        <v>9033</v>
      </c>
      <c r="M5" s="3" t="s">
        <v>908</v>
      </c>
    </row>
    <row r="6" customFormat="false" ht="34.5" hidden="false" customHeight="true" outlineLevel="0" collapsed="false">
      <c r="A6" s="7" t="n">
        <v>46322</v>
      </c>
      <c r="B6" s="3" t="n">
        <v>2</v>
      </c>
      <c r="C6" s="3" t="s">
        <v>930</v>
      </c>
      <c r="D6" s="3" t="s">
        <v>179</v>
      </c>
      <c r="E6" s="3" t="s">
        <v>924</v>
      </c>
      <c r="F6" s="3" t="s">
        <v>931</v>
      </c>
      <c r="G6" s="3" t="s">
        <v>21</v>
      </c>
      <c r="H6" s="3" t="s">
        <v>932</v>
      </c>
      <c r="I6" s="3" t="s">
        <v>933</v>
      </c>
      <c r="J6" s="3" t="s">
        <v>934</v>
      </c>
      <c r="K6" s="3" t="s">
        <v>935</v>
      </c>
      <c r="L6" s="3" t="n">
        <v>2547</v>
      </c>
      <c r="M6" s="3" t="s">
        <v>908</v>
      </c>
    </row>
    <row r="7" customFormat="false" ht="34.5" hidden="false" customHeight="true" outlineLevel="0" collapsed="false">
      <c r="A7" s="7" t="n">
        <v>46322</v>
      </c>
      <c r="B7" s="3" t="n">
        <v>3</v>
      </c>
      <c r="C7" s="3" t="s">
        <v>936</v>
      </c>
      <c r="D7" s="3" t="s">
        <v>179</v>
      </c>
      <c r="E7" s="3" t="s">
        <v>924</v>
      </c>
      <c r="F7" s="3" t="s">
        <v>937</v>
      </c>
      <c r="G7" s="3" t="s">
        <v>938</v>
      </c>
      <c r="H7" s="3" t="s">
        <v>939</v>
      </c>
      <c r="I7" s="3" t="s">
        <v>940</v>
      </c>
      <c r="J7" s="3" t="s">
        <v>941</v>
      </c>
      <c r="K7" s="3" t="s">
        <v>942</v>
      </c>
      <c r="L7" s="3" t="n">
        <v>1634</v>
      </c>
      <c r="M7" s="3" t="s">
        <v>908</v>
      </c>
    </row>
    <row r="8" customFormat="false" ht="34.5" hidden="false" customHeight="true" outlineLevel="0" collapsed="false">
      <c r="A8" s="7" t="n">
        <v>46322</v>
      </c>
      <c r="B8" s="3" t="n">
        <v>4</v>
      </c>
      <c r="C8" s="3" t="s">
        <v>943</v>
      </c>
      <c r="D8" s="3" t="s">
        <v>179</v>
      </c>
      <c r="E8" s="3" t="s">
        <v>924</v>
      </c>
      <c r="F8" s="3" t="s">
        <v>944</v>
      </c>
      <c r="G8" s="3" t="s">
        <v>21</v>
      </c>
      <c r="H8" s="3" t="s">
        <v>945</v>
      </c>
      <c r="I8" s="3" t="s">
        <v>946</v>
      </c>
      <c r="J8" s="3" t="s">
        <v>947</v>
      </c>
      <c r="K8" s="3" t="s">
        <v>948</v>
      </c>
      <c r="L8" s="3" t="n">
        <v>2551</v>
      </c>
      <c r="M8" s="3" t="s">
        <v>908</v>
      </c>
    </row>
    <row r="9" customFormat="false" ht="34.5" hidden="false" customHeight="true" outlineLevel="0" collapsed="false">
      <c r="A9" s="7" t="n">
        <v>46322</v>
      </c>
      <c r="B9" s="3" t="n">
        <v>5</v>
      </c>
      <c r="C9" s="3" t="s">
        <v>949</v>
      </c>
      <c r="D9" s="3" t="s">
        <v>179</v>
      </c>
      <c r="E9" s="3" t="s">
        <v>924</v>
      </c>
      <c r="F9" s="3" t="s">
        <v>950</v>
      </c>
      <c r="G9" s="3" t="s">
        <v>21</v>
      </c>
      <c r="H9" s="3" t="s">
        <v>951</v>
      </c>
      <c r="I9" s="3" t="s">
        <v>952</v>
      </c>
      <c r="J9" s="3" t="s">
        <v>953</v>
      </c>
      <c r="K9" s="3" t="s">
        <v>954</v>
      </c>
      <c r="L9" s="3" t="n">
        <v>2109</v>
      </c>
      <c r="M9" s="3" t="s">
        <v>908</v>
      </c>
    </row>
    <row r="10" customFormat="false" ht="34.5" hidden="false" customHeight="true" outlineLevel="0" collapsed="false">
      <c r="A10" s="7" t="n">
        <v>46322</v>
      </c>
      <c r="B10" s="3" t="n">
        <v>6</v>
      </c>
      <c r="C10" s="3" t="s">
        <v>955</v>
      </c>
      <c r="D10" s="3" t="s">
        <v>179</v>
      </c>
      <c r="E10" s="3" t="s">
        <v>924</v>
      </c>
      <c r="F10" s="3" t="s">
        <v>956</v>
      </c>
      <c r="G10" s="3" t="s">
        <v>21</v>
      </c>
      <c r="H10" s="3" t="s">
        <v>957</v>
      </c>
      <c r="I10" s="3" t="s">
        <v>958</v>
      </c>
      <c r="J10" s="3" t="s">
        <v>959</v>
      </c>
      <c r="K10" s="3" t="s">
        <v>960</v>
      </c>
      <c r="L10" s="3" t="n">
        <v>1787</v>
      </c>
      <c r="M10" s="3" t="s">
        <v>908</v>
      </c>
    </row>
    <row r="11" customFormat="false" ht="34.5" hidden="false" customHeight="true" outlineLevel="0" collapsed="false">
      <c r="A11" s="7" t="n">
        <v>46322</v>
      </c>
      <c r="B11" s="3" t="n">
        <v>9</v>
      </c>
      <c r="C11" s="3" t="s">
        <v>961</v>
      </c>
      <c r="D11" s="3" t="s">
        <v>179</v>
      </c>
      <c r="E11" s="3" t="s">
        <v>924</v>
      </c>
      <c r="F11" s="3" t="s">
        <v>962</v>
      </c>
      <c r="G11" s="3" t="s">
        <v>963</v>
      </c>
      <c r="H11" s="3" t="s">
        <v>964</v>
      </c>
      <c r="I11" s="3" t="s">
        <v>965</v>
      </c>
      <c r="J11" s="3" t="s">
        <v>966</v>
      </c>
      <c r="K11" s="3" t="s">
        <v>967</v>
      </c>
      <c r="L11" s="3" t="n">
        <v>9923</v>
      </c>
      <c r="M11" s="3" t="s">
        <v>908</v>
      </c>
    </row>
    <row r="12" customFormat="false" ht="34.5" hidden="false" customHeight="true" outlineLevel="0" collapsed="false">
      <c r="A12" s="7" t="n">
        <v>46322</v>
      </c>
      <c r="B12" s="3" t="n">
        <v>10</v>
      </c>
      <c r="C12" s="3" t="s">
        <v>968</v>
      </c>
      <c r="D12" s="3" t="s">
        <v>179</v>
      </c>
      <c r="E12" s="3" t="s">
        <v>924</v>
      </c>
      <c r="F12" s="3" t="s">
        <v>969</v>
      </c>
      <c r="G12" s="3" t="s">
        <v>21</v>
      </c>
      <c r="H12" s="3" t="s">
        <v>970</v>
      </c>
      <c r="I12" s="3" t="s">
        <v>971</v>
      </c>
      <c r="J12" s="3" t="s">
        <v>972</v>
      </c>
      <c r="K12" s="3" t="s">
        <v>973</v>
      </c>
      <c r="L12" s="3" t="n">
        <v>6322</v>
      </c>
      <c r="M12" s="3" t="s">
        <v>908</v>
      </c>
    </row>
    <row r="13" customFormat="false" ht="34.5" hidden="false" customHeight="true" outlineLevel="0" collapsed="false">
      <c r="A13" s="7" t="n">
        <v>46322</v>
      </c>
      <c r="B13" s="3" t="n">
        <v>11</v>
      </c>
      <c r="C13" s="3" t="s">
        <v>974</v>
      </c>
      <c r="D13" s="3" t="s">
        <v>179</v>
      </c>
      <c r="E13" s="3" t="s">
        <v>924</v>
      </c>
      <c r="F13" s="3" t="s">
        <v>975</v>
      </c>
      <c r="G13" s="3" t="s">
        <v>21</v>
      </c>
      <c r="H13" s="3" t="s">
        <v>976</v>
      </c>
      <c r="I13" s="3" t="s">
        <v>977</v>
      </c>
      <c r="J13" s="3" t="s">
        <v>978</v>
      </c>
      <c r="K13" s="3" t="s">
        <v>979</v>
      </c>
      <c r="L13" s="3" t="n">
        <v>5924</v>
      </c>
      <c r="M13" s="3" t="s">
        <v>908</v>
      </c>
    </row>
    <row r="14" customFormat="false" ht="34.5" hidden="false" customHeight="true" outlineLevel="0" collapsed="false">
      <c r="A14" s="7" t="n">
        <v>46322</v>
      </c>
      <c r="B14" s="3" t="n">
        <v>12</v>
      </c>
      <c r="C14" s="3" t="s">
        <v>980</v>
      </c>
      <c r="D14" s="3" t="s">
        <v>179</v>
      </c>
      <c r="E14" s="3" t="s">
        <v>924</v>
      </c>
      <c r="F14" s="3" t="s">
        <v>981</v>
      </c>
      <c r="G14" s="3" t="s">
        <v>21</v>
      </c>
      <c r="H14" s="3" t="s">
        <v>982</v>
      </c>
      <c r="I14" s="3" t="s">
        <v>983</v>
      </c>
      <c r="J14" s="3" t="s">
        <v>984</v>
      </c>
      <c r="K14" s="3" t="s">
        <v>985</v>
      </c>
      <c r="L14" s="3" t="n">
        <v>4759</v>
      </c>
      <c r="M14" s="3" t="s">
        <v>908</v>
      </c>
    </row>
    <row r="15" customFormat="false" ht="34.5" hidden="false" customHeight="true" outlineLevel="0" collapsed="false">
      <c r="A15" s="7" t="n">
        <v>46322</v>
      </c>
      <c r="B15" s="3" t="n">
        <v>13</v>
      </c>
      <c r="C15" s="3" t="s">
        <v>986</v>
      </c>
      <c r="D15" s="3" t="s">
        <v>179</v>
      </c>
      <c r="E15" s="3" t="s">
        <v>924</v>
      </c>
      <c r="F15" s="3" t="s">
        <v>987</v>
      </c>
      <c r="G15" s="3" t="s">
        <v>21</v>
      </c>
      <c r="H15" s="3" t="s">
        <v>988</v>
      </c>
      <c r="I15" s="3" t="s">
        <v>989</v>
      </c>
      <c r="J15" s="3" t="s">
        <v>990</v>
      </c>
      <c r="K15" s="3" t="s">
        <v>991</v>
      </c>
      <c r="L15" s="3" t="n">
        <v>5468</v>
      </c>
      <c r="M15" s="3" t="s">
        <v>908</v>
      </c>
    </row>
    <row r="16" customFormat="false" ht="34.5" hidden="false" customHeight="true" outlineLevel="0" collapsed="false">
      <c r="A16" s="7" t="n">
        <v>46322</v>
      </c>
      <c r="B16" s="3" t="n">
        <v>14</v>
      </c>
      <c r="C16" s="3" t="s">
        <v>992</v>
      </c>
      <c r="D16" s="3" t="s">
        <v>179</v>
      </c>
      <c r="E16" s="3" t="s">
        <v>924</v>
      </c>
      <c r="F16" s="3" t="s">
        <v>993</v>
      </c>
      <c r="G16" s="3" t="s">
        <v>21</v>
      </c>
      <c r="H16" s="3" t="s">
        <v>994</v>
      </c>
      <c r="I16" s="3" t="s">
        <v>995</v>
      </c>
      <c r="J16" s="3" t="s">
        <v>996</v>
      </c>
      <c r="K16" s="3" t="s">
        <v>997</v>
      </c>
      <c r="L16" s="3" t="n">
        <v>4592</v>
      </c>
      <c r="M16" s="3" t="s">
        <v>908</v>
      </c>
    </row>
    <row r="17" customFormat="false" ht="34.5" hidden="false" customHeight="true" outlineLevel="0" collapsed="false">
      <c r="A17" s="7" t="n">
        <v>46322</v>
      </c>
      <c r="B17" s="3" t="n">
        <v>15</v>
      </c>
      <c r="C17" s="3" t="s">
        <v>998</v>
      </c>
      <c r="D17" s="3" t="s">
        <v>179</v>
      </c>
      <c r="E17" s="3" t="s">
        <v>924</v>
      </c>
      <c r="F17" s="3" t="s">
        <v>999</v>
      </c>
      <c r="G17" s="3" t="s">
        <v>21</v>
      </c>
      <c r="H17" s="3" t="s">
        <v>1000</v>
      </c>
      <c r="I17" s="3" t="s">
        <v>1001</v>
      </c>
      <c r="J17" s="3" t="s">
        <v>1002</v>
      </c>
      <c r="K17" s="3" t="s">
        <v>1003</v>
      </c>
      <c r="L17" s="3" t="n">
        <v>4676</v>
      </c>
      <c r="M17" s="3" t="s">
        <v>908</v>
      </c>
    </row>
    <row r="18" customFormat="false" ht="34.5" hidden="false" customHeight="true" outlineLevel="0" collapsed="false">
      <c r="A18" s="7" t="n">
        <v>46322</v>
      </c>
      <c r="B18" s="3" t="n">
        <v>16</v>
      </c>
      <c r="C18" s="3" t="s">
        <v>1004</v>
      </c>
      <c r="D18" s="3" t="s">
        <v>179</v>
      </c>
      <c r="E18" s="3" t="s">
        <v>924</v>
      </c>
      <c r="F18" s="3" t="s">
        <v>1005</v>
      </c>
      <c r="G18" s="3" t="s">
        <v>21</v>
      </c>
      <c r="H18" s="3" t="s">
        <v>1006</v>
      </c>
      <c r="I18" s="3" t="s">
        <v>1007</v>
      </c>
      <c r="J18" s="3" t="s">
        <v>1008</v>
      </c>
      <c r="K18" s="3" t="s">
        <v>1009</v>
      </c>
      <c r="L18" s="3" t="n">
        <v>7146</v>
      </c>
      <c r="M18" s="3" t="s">
        <v>908</v>
      </c>
    </row>
    <row r="19" customFormat="false" ht="34.5" hidden="false" customHeight="true" outlineLevel="0" collapsed="false">
      <c r="A19" s="7" t="n">
        <v>46322</v>
      </c>
      <c r="B19" s="3" t="n">
        <v>17</v>
      </c>
      <c r="C19" s="3" t="s">
        <v>1010</v>
      </c>
      <c r="D19" s="3" t="s">
        <v>179</v>
      </c>
      <c r="E19" s="3" t="s">
        <v>924</v>
      </c>
      <c r="F19" s="3" t="s">
        <v>1011</v>
      </c>
      <c r="G19" s="3" t="s">
        <v>21</v>
      </c>
      <c r="H19" s="3" t="s">
        <v>1012</v>
      </c>
      <c r="I19" s="3" t="s">
        <v>1013</v>
      </c>
      <c r="J19" s="3" t="s">
        <v>1014</v>
      </c>
      <c r="K19" s="3" t="s">
        <v>1015</v>
      </c>
      <c r="L19" s="3" t="n">
        <v>4377</v>
      </c>
      <c r="M19" s="3" t="s">
        <v>908</v>
      </c>
    </row>
    <row r="20" customFormat="false" ht="34.5" hidden="false" customHeight="true" outlineLevel="0" collapsed="false">
      <c r="A20" s="7" t="n">
        <v>46322</v>
      </c>
      <c r="B20" s="3" t="n">
        <v>18</v>
      </c>
      <c r="C20" s="3" t="s">
        <v>1016</v>
      </c>
      <c r="D20" s="3" t="s">
        <v>179</v>
      </c>
      <c r="E20" s="3" t="s">
        <v>924</v>
      </c>
      <c r="F20" s="3" t="s">
        <v>1017</v>
      </c>
      <c r="G20" s="3" t="s">
        <v>21</v>
      </c>
      <c r="H20" s="3" t="s">
        <v>1018</v>
      </c>
      <c r="I20" s="3" t="s">
        <v>1019</v>
      </c>
      <c r="J20" s="3" t="s">
        <v>1020</v>
      </c>
      <c r="K20" s="3" t="s">
        <v>1021</v>
      </c>
      <c r="L20" s="3" t="n">
        <v>4066</v>
      </c>
      <c r="M20" s="3" t="s">
        <v>908</v>
      </c>
    </row>
    <row r="21" customFormat="false" ht="34.5" hidden="false" customHeight="true" outlineLevel="0" collapsed="false">
      <c r="A21" s="7" t="n">
        <v>46322</v>
      </c>
      <c r="B21" s="3" t="n">
        <v>19</v>
      </c>
      <c r="C21" s="3" t="s">
        <v>1022</v>
      </c>
      <c r="D21" s="3" t="s">
        <v>179</v>
      </c>
      <c r="E21" s="3" t="s">
        <v>924</v>
      </c>
      <c r="F21" s="3" t="s">
        <v>1023</v>
      </c>
      <c r="G21" s="3" t="s">
        <v>21</v>
      </c>
      <c r="H21" s="3" t="s">
        <v>1024</v>
      </c>
      <c r="I21" s="3" t="s">
        <v>1025</v>
      </c>
      <c r="J21" s="3" t="s">
        <v>1026</v>
      </c>
      <c r="K21" s="3" t="s">
        <v>1027</v>
      </c>
      <c r="L21" s="3" t="n">
        <v>5160</v>
      </c>
      <c r="M21" s="3" t="s">
        <v>908</v>
      </c>
    </row>
    <row r="22" customFormat="false" ht="23.25" hidden="false" customHeight="true" outlineLevel="0" collapsed="false">
      <c r="A22" s="7" t="n">
        <v>46322</v>
      </c>
      <c r="B22" s="3" t="n">
        <v>20</v>
      </c>
      <c r="C22" s="3" t="s">
        <v>1028</v>
      </c>
      <c r="D22" s="3" t="s">
        <v>179</v>
      </c>
      <c r="E22" s="3" t="s">
        <v>924</v>
      </c>
      <c r="F22" s="3" t="s">
        <v>1029</v>
      </c>
      <c r="G22" s="3" t="s">
        <v>34</v>
      </c>
      <c r="H22" s="3" t="s">
        <v>1030</v>
      </c>
      <c r="I22" s="3" t="s">
        <v>1031</v>
      </c>
      <c r="J22" s="3" t="s">
        <v>1032</v>
      </c>
      <c r="K22" s="3" t="s">
        <v>1033</v>
      </c>
      <c r="L22" s="3" t="n">
        <v>3971</v>
      </c>
      <c r="M22" s="3" t="s">
        <v>908</v>
      </c>
    </row>
    <row r="23" customFormat="false" ht="34.5" hidden="false" customHeight="true" outlineLevel="0" collapsed="false">
      <c r="A23" s="7" t="n">
        <v>46322</v>
      </c>
      <c r="B23" s="3" t="n">
        <v>21</v>
      </c>
      <c r="C23" s="3" t="s">
        <v>1034</v>
      </c>
      <c r="D23" s="3" t="s">
        <v>179</v>
      </c>
      <c r="E23" s="3" t="s">
        <v>924</v>
      </c>
      <c r="F23" s="3" t="s">
        <v>1035</v>
      </c>
      <c r="G23" s="3" t="s">
        <v>34</v>
      </c>
      <c r="H23" s="3" t="s">
        <v>1036</v>
      </c>
      <c r="I23" s="3" t="s">
        <v>1037</v>
      </c>
      <c r="J23" s="3" t="s">
        <v>1038</v>
      </c>
      <c r="K23" s="3" t="s">
        <v>1039</v>
      </c>
      <c r="L23" s="3" t="n">
        <v>4256</v>
      </c>
      <c r="M23" s="3" t="s">
        <v>908</v>
      </c>
    </row>
    <row r="24" customFormat="false" ht="34.5" hidden="false" customHeight="true" outlineLevel="0" collapsed="false">
      <c r="A24" s="7" t="n">
        <v>46322</v>
      </c>
      <c r="B24" s="3" t="n">
        <v>22</v>
      </c>
      <c r="C24" s="3" t="s">
        <v>1040</v>
      </c>
      <c r="D24" s="3" t="s">
        <v>179</v>
      </c>
      <c r="E24" s="3" t="s">
        <v>924</v>
      </c>
      <c r="F24" s="3" t="s">
        <v>1041</v>
      </c>
      <c r="G24" s="3" t="s">
        <v>34</v>
      </c>
      <c r="H24" s="3" t="s">
        <v>1042</v>
      </c>
      <c r="I24" s="3" t="s">
        <v>1043</v>
      </c>
      <c r="J24" s="3" t="s">
        <v>1044</v>
      </c>
      <c r="K24" s="3" t="s">
        <v>1045</v>
      </c>
      <c r="L24" s="3" t="n">
        <v>4177</v>
      </c>
      <c r="M24" s="3" t="s">
        <v>908</v>
      </c>
    </row>
    <row r="25" customFormat="false" ht="34.5" hidden="false" customHeight="true" outlineLevel="0" collapsed="false">
      <c r="A25" s="7" t="n">
        <v>46322</v>
      </c>
      <c r="B25" s="3" t="n">
        <v>23</v>
      </c>
      <c r="C25" s="3" t="s">
        <v>1046</v>
      </c>
      <c r="D25" s="3" t="s">
        <v>179</v>
      </c>
      <c r="E25" s="3" t="s">
        <v>924</v>
      </c>
      <c r="F25" s="3" t="s">
        <v>1047</v>
      </c>
      <c r="G25" s="3" t="s">
        <v>34</v>
      </c>
      <c r="H25" s="3" t="s">
        <v>1048</v>
      </c>
      <c r="I25" s="3" t="s">
        <v>1049</v>
      </c>
      <c r="J25" s="3" t="s">
        <v>1050</v>
      </c>
      <c r="K25" s="3" t="s">
        <v>1051</v>
      </c>
      <c r="L25" s="3" t="n">
        <v>4223</v>
      </c>
      <c r="M25" s="3" t="s">
        <v>908</v>
      </c>
    </row>
    <row r="26" customFormat="false" ht="23.25" hidden="false" customHeight="true" outlineLevel="0" collapsed="false">
      <c r="A26" s="7" t="n">
        <v>46322</v>
      </c>
      <c r="B26" s="3" t="n">
        <v>24</v>
      </c>
      <c r="C26" s="3" t="s">
        <v>1052</v>
      </c>
      <c r="D26" s="3" t="s">
        <v>179</v>
      </c>
      <c r="E26" s="3" t="s">
        <v>924</v>
      </c>
      <c r="F26" s="3" t="s">
        <v>1053</v>
      </c>
      <c r="G26" s="3" t="s">
        <v>34</v>
      </c>
      <c r="H26" s="3" t="s">
        <v>1054</v>
      </c>
      <c r="I26" s="3" t="s">
        <v>1055</v>
      </c>
      <c r="J26" s="3" t="s">
        <v>1056</v>
      </c>
      <c r="K26" s="3" t="s">
        <v>1057</v>
      </c>
      <c r="L26" s="3" t="n">
        <v>4204</v>
      </c>
      <c r="M26" s="3" t="s">
        <v>908</v>
      </c>
    </row>
    <row r="27" customFormat="false" ht="34.5" hidden="false" customHeight="true" outlineLevel="0" collapsed="false">
      <c r="A27" s="7" t="n">
        <v>46322</v>
      </c>
      <c r="B27" s="3" t="n">
        <v>25</v>
      </c>
      <c r="C27" s="3" t="s">
        <v>1058</v>
      </c>
      <c r="D27" s="3" t="s">
        <v>179</v>
      </c>
      <c r="E27" s="3" t="s">
        <v>924</v>
      </c>
      <c r="F27" s="3" t="s">
        <v>1059</v>
      </c>
      <c r="G27" s="3" t="s">
        <v>34</v>
      </c>
      <c r="H27" s="3" t="s">
        <v>1060</v>
      </c>
      <c r="I27" s="3" t="s">
        <v>1061</v>
      </c>
      <c r="J27" s="3" t="s">
        <v>1062</v>
      </c>
      <c r="K27" s="3" t="s">
        <v>1063</v>
      </c>
      <c r="L27" s="3" t="n">
        <v>5486</v>
      </c>
      <c r="M27" s="3" t="s">
        <v>908</v>
      </c>
    </row>
    <row r="28" customFormat="false" ht="34.5" hidden="false" customHeight="true" outlineLevel="0" collapsed="false">
      <c r="A28" s="7" t="n">
        <v>46322</v>
      </c>
      <c r="B28" s="3" t="n">
        <v>26</v>
      </c>
      <c r="C28" s="3" t="s">
        <v>1064</v>
      </c>
      <c r="D28" s="3" t="s">
        <v>179</v>
      </c>
      <c r="E28" s="3" t="s">
        <v>924</v>
      </c>
      <c r="F28" s="3" t="s">
        <v>1065</v>
      </c>
      <c r="G28" s="3" t="s">
        <v>34</v>
      </c>
      <c r="H28" s="3" t="s">
        <v>1066</v>
      </c>
      <c r="I28" s="3" t="s">
        <v>1067</v>
      </c>
      <c r="J28" s="3" t="s">
        <v>1068</v>
      </c>
      <c r="K28" s="3" t="s">
        <v>1069</v>
      </c>
      <c r="L28" s="3" t="n">
        <v>4744</v>
      </c>
      <c r="M28" s="3" t="s">
        <v>908</v>
      </c>
    </row>
    <row r="29" customFormat="false" ht="23.25" hidden="false" customHeight="true" outlineLevel="0" collapsed="false">
      <c r="A29" s="7" t="n">
        <v>46322</v>
      </c>
      <c r="B29" s="3" t="n">
        <v>28</v>
      </c>
      <c r="C29" s="3" t="s">
        <v>1070</v>
      </c>
      <c r="D29" s="3" t="s">
        <v>179</v>
      </c>
      <c r="E29" s="3" t="s">
        <v>924</v>
      </c>
      <c r="F29" s="3" t="s">
        <v>1071</v>
      </c>
      <c r="G29" s="3" t="s">
        <v>312</v>
      </c>
      <c r="H29" s="3" t="s">
        <v>1072</v>
      </c>
      <c r="I29" s="3" t="s">
        <v>1073</v>
      </c>
      <c r="J29" s="3" t="s">
        <v>1074</v>
      </c>
      <c r="K29" s="3" t="s">
        <v>1075</v>
      </c>
      <c r="L29" s="3" t="n">
        <v>7322</v>
      </c>
      <c r="M29" s="3" t="s">
        <v>908</v>
      </c>
    </row>
    <row r="30" customFormat="false" ht="23.25" hidden="false" customHeight="true" outlineLevel="0" collapsed="false">
      <c r="A30" s="7" t="n">
        <v>46322</v>
      </c>
      <c r="B30" s="3" t="n">
        <v>29</v>
      </c>
      <c r="C30" s="3" t="s">
        <v>1076</v>
      </c>
      <c r="D30" s="3" t="s">
        <v>179</v>
      </c>
      <c r="E30" s="3" t="s">
        <v>924</v>
      </c>
      <c r="F30" s="3" t="s">
        <v>1077</v>
      </c>
      <c r="G30" s="3" t="s">
        <v>312</v>
      </c>
      <c r="H30" s="3" t="s">
        <v>1078</v>
      </c>
      <c r="I30" s="3" t="s">
        <v>1079</v>
      </c>
      <c r="J30" s="3" t="s">
        <v>1080</v>
      </c>
      <c r="K30" s="3" t="s">
        <v>1081</v>
      </c>
      <c r="L30" s="3" t="n">
        <v>5845</v>
      </c>
      <c r="M30" s="3" t="s">
        <v>908</v>
      </c>
    </row>
    <row r="31" customFormat="false" ht="34.5" hidden="false" customHeight="true" outlineLevel="0" collapsed="false">
      <c r="A31" s="7" t="n">
        <v>46322</v>
      </c>
      <c r="B31" s="3" t="n">
        <v>30</v>
      </c>
      <c r="C31" s="3" t="s">
        <v>1082</v>
      </c>
      <c r="D31" s="3" t="s">
        <v>179</v>
      </c>
      <c r="E31" s="3" t="s">
        <v>924</v>
      </c>
      <c r="F31" s="3" t="s">
        <v>1083</v>
      </c>
      <c r="G31" s="3" t="s">
        <v>312</v>
      </c>
      <c r="H31" s="3" t="s">
        <v>1084</v>
      </c>
      <c r="I31" s="3" t="s">
        <v>1085</v>
      </c>
      <c r="J31" s="3" t="s">
        <v>1086</v>
      </c>
      <c r="K31" s="3" t="s">
        <v>1087</v>
      </c>
      <c r="L31" s="3" t="n">
        <v>5632</v>
      </c>
      <c r="M31" s="3" t="s">
        <v>908</v>
      </c>
    </row>
    <row r="32" customFormat="false" ht="34.5" hidden="false" customHeight="true" outlineLevel="0" collapsed="false">
      <c r="A32" s="7" t="n">
        <v>46322</v>
      </c>
      <c r="B32" s="3" t="n">
        <v>31</v>
      </c>
      <c r="C32" s="3" t="s">
        <v>1088</v>
      </c>
      <c r="D32" s="3" t="s">
        <v>179</v>
      </c>
      <c r="E32" s="3" t="s">
        <v>924</v>
      </c>
      <c r="F32" s="3" t="s">
        <v>1089</v>
      </c>
      <c r="G32" s="3" t="s">
        <v>312</v>
      </c>
      <c r="H32" s="3" t="s">
        <v>1090</v>
      </c>
      <c r="I32" s="3" t="s">
        <v>1091</v>
      </c>
      <c r="J32" s="3" t="s">
        <v>1092</v>
      </c>
      <c r="K32" s="3" t="s">
        <v>1093</v>
      </c>
      <c r="L32" s="3" t="n">
        <v>8708</v>
      </c>
      <c r="M32" s="3" t="s">
        <v>908</v>
      </c>
    </row>
    <row r="33" customFormat="false" ht="34.5" hidden="false" customHeight="true" outlineLevel="0" collapsed="false">
      <c r="A33" s="7" t="n">
        <v>46322</v>
      </c>
      <c r="B33" s="3" t="n">
        <v>32</v>
      </c>
      <c r="C33" s="3" t="s">
        <v>1094</v>
      </c>
      <c r="D33" s="3" t="s">
        <v>179</v>
      </c>
      <c r="E33" s="3" t="s">
        <v>924</v>
      </c>
      <c r="F33" s="3" t="s">
        <v>1095</v>
      </c>
      <c r="G33" s="3" t="s">
        <v>312</v>
      </c>
      <c r="H33" s="3" t="s">
        <v>1096</v>
      </c>
      <c r="I33" s="3" t="s">
        <v>1097</v>
      </c>
      <c r="J33" s="3" t="s">
        <v>1098</v>
      </c>
      <c r="K33" s="3" t="s">
        <v>1099</v>
      </c>
      <c r="L33" s="3" t="n">
        <v>7980</v>
      </c>
      <c r="M33" s="3" t="s">
        <v>908</v>
      </c>
    </row>
    <row r="34" customFormat="false" ht="34.5" hidden="false" customHeight="true" outlineLevel="0" collapsed="false">
      <c r="A34" s="7" t="n">
        <v>46322</v>
      </c>
      <c r="B34" s="3" t="n">
        <v>33</v>
      </c>
      <c r="C34" s="3" t="s">
        <v>1100</v>
      </c>
      <c r="D34" s="3" t="s">
        <v>179</v>
      </c>
      <c r="E34" s="3" t="s">
        <v>924</v>
      </c>
      <c r="F34" s="3" t="s">
        <v>1101</v>
      </c>
      <c r="G34" s="3" t="s">
        <v>312</v>
      </c>
      <c r="H34" s="3" t="s">
        <v>1102</v>
      </c>
      <c r="I34" s="3" t="s">
        <v>1103</v>
      </c>
      <c r="J34" s="3" t="s">
        <v>1104</v>
      </c>
      <c r="K34" s="3" t="s">
        <v>1105</v>
      </c>
      <c r="L34" s="3" t="n">
        <v>6254</v>
      </c>
      <c r="M34" s="3" t="s">
        <v>908</v>
      </c>
    </row>
    <row r="35" customFormat="false" ht="34.5" hidden="false" customHeight="true" outlineLevel="0" collapsed="false">
      <c r="A35" s="7" t="n">
        <v>46322</v>
      </c>
      <c r="B35" s="3" t="n">
        <v>34</v>
      </c>
      <c r="C35" s="3" t="s">
        <v>1106</v>
      </c>
      <c r="D35" s="3" t="s">
        <v>179</v>
      </c>
      <c r="E35" s="3" t="s">
        <v>924</v>
      </c>
      <c r="F35" s="3" t="s">
        <v>1107</v>
      </c>
      <c r="G35" s="3" t="s">
        <v>312</v>
      </c>
      <c r="H35" s="3" t="s">
        <v>1108</v>
      </c>
      <c r="I35" s="3" t="s">
        <v>1109</v>
      </c>
      <c r="J35" s="3" t="s">
        <v>1110</v>
      </c>
      <c r="K35" s="3" t="s">
        <v>1111</v>
      </c>
      <c r="L35" s="3" t="n">
        <v>7854</v>
      </c>
      <c r="M35" s="3" t="s">
        <v>908</v>
      </c>
    </row>
    <row r="36" customFormat="false" ht="34.5" hidden="false" customHeight="true" outlineLevel="0" collapsed="false">
      <c r="A36" s="7" t="n">
        <v>46322</v>
      </c>
      <c r="B36" s="3" t="n">
        <v>35</v>
      </c>
      <c r="C36" s="3" t="s">
        <v>1112</v>
      </c>
      <c r="D36" s="3" t="s">
        <v>179</v>
      </c>
      <c r="E36" s="3" t="s">
        <v>924</v>
      </c>
      <c r="F36" s="3" t="s">
        <v>1113</v>
      </c>
      <c r="G36" s="3" t="s">
        <v>312</v>
      </c>
      <c r="H36" s="3" t="s">
        <v>1114</v>
      </c>
      <c r="I36" s="3" t="s">
        <v>1115</v>
      </c>
      <c r="J36" s="3" t="s">
        <v>1116</v>
      </c>
      <c r="K36" s="3" t="s">
        <v>1117</v>
      </c>
      <c r="L36" s="3" t="n">
        <v>8362</v>
      </c>
      <c r="M36" s="3" t="s">
        <v>908</v>
      </c>
    </row>
    <row r="37" customFormat="false" ht="34.5" hidden="false" customHeight="true" outlineLevel="0" collapsed="false">
      <c r="A37" s="7" t="n">
        <v>46322</v>
      </c>
      <c r="B37" s="3" t="n">
        <v>36</v>
      </c>
      <c r="C37" s="3" t="s">
        <v>1118</v>
      </c>
      <c r="D37" s="3" t="s">
        <v>179</v>
      </c>
      <c r="E37" s="3" t="s">
        <v>924</v>
      </c>
      <c r="F37" s="3" t="s">
        <v>1119</v>
      </c>
      <c r="G37" s="3" t="s">
        <v>312</v>
      </c>
      <c r="H37" s="3" t="s">
        <v>1120</v>
      </c>
      <c r="I37" s="3" t="s">
        <v>1121</v>
      </c>
      <c r="J37" s="3" t="s">
        <v>1122</v>
      </c>
      <c r="K37" s="3" t="s">
        <v>1123</v>
      </c>
      <c r="L37" s="3" t="n">
        <v>7954</v>
      </c>
      <c r="M37" s="3" t="s">
        <v>908</v>
      </c>
    </row>
    <row r="38" customFormat="false" ht="34.5" hidden="false" customHeight="true" outlineLevel="0" collapsed="false">
      <c r="A38" s="7" t="n">
        <v>46322</v>
      </c>
      <c r="B38" s="3" t="n">
        <v>37</v>
      </c>
      <c r="C38" s="3" t="s">
        <v>1124</v>
      </c>
      <c r="D38" s="3" t="s">
        <v>179</v>
      </c>
      <c r="E38" s="3" t="s">
        <v>924</v>
      </c>
      <c r="F38" s="3" t="s">
        <v>1125</v>
      </c>
      <c r="G38" s="3" t="s">
        <v>312</v>
      </c>
      <c r="H38" s="3" t="s">
        <v>1126</v>
      </c>
      <c r="I38" s="3" t="s">
        <v>1127</v>
      </c>
      <c r="J38" s="3" t="s">
        <v>1128</v>
      </c>
      <c r="K38" s="3" t="s">
        <v>1129</v>
      </c>
      <c r="L38" s="3" t="n">
        <v>8043</v>
      </c>
      <c r="M38" s="3" t="s">
        <v>908</v>
      </c>
    </row>
    <row r="39" customFormat="false" ht="34.5" hidden="false" customHeight="true" outlineLevel="0" collapsed="false">
      <c r="A39" s="7" t="n">
        <v>46322</v>
      </c>
      <c r="B39" s="3" t="n">
        <v>38</v>
      </c>
      <c r="C39" s="3" t="s">
        <v>1130</v>
      </c>
      <c r="D39" s="3" t="s">
        <v>179</v>
      </c>
      <c r="E39" s="3" t="s">
        <v>924</v>
      </c>
      <c r="F39" s="3" t="s">
        <v>1131</v>
      </c>
      <c r="G39" s="3" t="s">
        <v>312</v>
      </c>
      <c r="H39" s="3" t="s">
        <v>1132</v>
      </c>
      <c r="I39" s="3" t="s">
        <v>1133</v>
      </c>
      <c r="J39" s="3" t="s">
        <v>1134</v>
      </c>
      <c r="K39" s="3" t="s">
        <v>1135</v>
      </c>
      <c r="L39" s="3" t="n">
        <v>6787</v>
      </c>
      <c r="M39" s="3" t="s">
        <v>908</v>
      </c>
    </row>
    <row r="40" customFormat="false" ht="34.5" hidden="false" customHeight="true" outlineLevel="0" collapsed="false">
      <c r="A40" s="7" t="n">
        <v>46322</v>
      </c>
      <c r="B40" s="3" t="n">
        <v>39</v>
      </c>
      <c r="C40" s="3" t="s">
        <v>1136</v>
      </c>
      <c r="D40" s="3" t="s">
        <v>179</v>
      </c>
      <c r="E40" s="3" t="s">
        <v>924</v>
      </c>
      <c r="F40" s="3" t="s">
        <v>1137</v>
      </c>
      <c r="G40" s="3" t="s">
        <v>312</v>
      </c>
      <c r="H40" s="3" t="s">
        <v>1138</v>
      </c>
      <c r="I40" s="3" t="s">
        <v>1139</v>
      </c>
      <c r="J40" s="3" t="s">
        <v>1140</v>
      </c>
      <c r="K40" s="3" t="s">
        <v>1141</v>
      </c>
      <c r="L40" s="3" t="n">
        <v>6426</v>
      </c>
      <c r="M40" s="3" t="s">
        <v>908</v>
      </c>
    </row>
    <row r="41" customFormat="false" ht="34.5" hidden="false" customHeight="true" outlineLevel="0" collapsed="false">
      <c r="A41" s="7" t="n">
        <v>46322</v>
      </c>
      <c r="B41" s="3" t="n">
        <v>40</v>
      </c>
      <c r="C41" s="3" t="s">
        <v>1142</v>
      </c>
      <c r="D41" s="3" t="s">
        <v>179</v>
      </c>
      <c r="E41" s="3" t="s">
        <v>924</v>
      </c>
      <c r="F41" s="3" t="s">
        <v>1143</v>
      </c>
      <c r="G41" s="3" t="s">
        <v>1144</v>
      </c>
      <c r="H41" s="3" t="s">
        <v>1145</v>
      </c>
      <c r="I41" s="3" t="s">
        <v>1146</v>
      </c>
      <c r="J41" s="3" t="s">
        <v>1147</v>
      </c>
      <c r="K41" s="3" t="s">
        <v>1148</v>
      </c>
      <c r="L41" s="3" t="n">
        <v>9338</v>
      </c>
      <c r="M41" s="3" t="s">
        <v>908</v>
      </c>
    </row>
    <row r="42" customFormat="false" ht="34.5" hidden="false" customHeight="true" outlineLevel="0" collapsed="false">
      <c r="A42" s="7" t="n">
        <v>46322</v>
      </c>
      <c r="B42" s="3" t="n">
        <v>41</v>
      </c>
      <c r="C42" s="3" t="s">
        <v>1149</v>
      </c>
      <c r="D42" s="3" t="s">
        <v>179</v>
      </c>
      <c r="E42" s="3" t="s">
        <v>924</v>
      </c>
      <c r="F42" s="3" t="s">
        <v>1150</v>
      </c>
      <c r="G42" s="3" t="s">
        <v>770</v>
      </c>
      <c r="H42" s="3" t="s">
        <v>1151</v>
      </c>
      <c r="I42" s="3" t="s">
        <v>1152</v>
      </c>
      <c r="J42" s="3" t="s">
        <v>1153</v>
      </c>
      <c r="K42" s="3" t="s">
        <v>1154</v>
      </c>
      <c r="L42" s="3" t="n">
        <v>7643</v>
      </c>
      <c r="M42" s="3" t="s">
        <v>908</v>
      </c>
    </row>
    <row r="43" customFormat="false" ht="34.5" hidden="false" customHeight="true" outlineLevel="0" collapsed="false">
      <c r="A43" s="7" t="n">
        <v>46322</v>
      </c>
      <c r="B43" s="3" t="n">
        <v>42</v>
      </c>
      <c r="C43" s="3" t="s">
        <v>1155</v>
      </c>
      <c r="D43" s="3" t="s">
        <v>179</v>
      </c>
      <c r="E43" s="3" t="s">
        <v>924</v>
      </c>
      <c r="F43" s="3" t="s">
        <v>1156</v>
      </c>
      <c r="G43" s="3" t="s">
        <v>770</v>
      </c>
      <c r="H43" s="3" t="s">
        <v>1157</v>
      </c>
      <c r="I43" s="3" t="s">
        <v>1158</v>
      </c>
      <c r="J43" s="3" t="s">
        <v>1159</v>
      </c>
      <c r="K43" s="3" t="s">
        <v>1160</v>
      </c>
      <c r="L43" s="3" t="n">
        <v>7727</v>
      </c>
      <c r="M43" s="3" t="s">
        <v>908</v>
      </c>
    </row>
    <row r="44" customFormat="false" ht="34.5" hidden="false" customHeight="true" outlineLevel="0" collapsed="false">
      <c r="A44" s="7" t="n">
        <v>46322</v>
      </c>
      <c r="B44" s="3" t="n">
        <v>43</v>
      </c>
      <c r="C44" s="3" t="s">
        <v>1161</v>
      </c>
      <c r="D44" s="3" t="s">
        <v>179</v>
      </c>
      <c r="E44" s="3" t="s">
        <v>924</v>
      </c>
      <c r="F44" s="3" t="s">
        <v>1162</v>
      </c>
      <c r="G44" s="3" t="s">
        <v>770</v>
      </c>
      <c r="H44" s="3" t="s">
        <v>1163</v>
      </c>
      <c r="I44" s="3" t="s">
        <v>1164</v>
      </c>
      <c r="J44" s="3" t="s">
        <v>1165</v>
      </c>
      <c r="K44" s="3" t="s">
        <v>1166</v>
      </c>
      <c r="L44" s="3" t="n">
        <v>5610</v>
      </c>
      <c r="M44" s="3" t="s">
        <v>908</v>
      </c>
    </row>
    <row r="45" customFormat="false" ht="34.5" hidden="false" customHeight="true" outlineLevel="0" collapsed="false">
      <c r="A45" s="7" t="n">
        <v>46322</v>
      </c>
      <c r="B45" s="3" t="n">
        <v>44</v>
      </c>
      <c r="C45" s="3" t="s">
        <v>1167</v>
      </c>
      <c r="D45" s="3" t="s">
        <v>179</v>
      </c>
      <c r="E45" s="3" t="s">
        <v>924</v>
      </c>
      <c r="F45" s="3" t="s">
        <v>1168</v>
      </c>
      <c r="G45" s="3" t="s">
        <v>770</v>
      </c>
      <c r="H45" s="3" t="s">
        <v>1169</v>
      </c>
      <c r="I45" s="3" t="s">
        <v>1170</v>
      </c>
      <c r="J45" s="3" t="s">
        <v>1171</v>
      </c>
      <c r="K45" s="3" t="s">
        <v>1172</v>
      </c>
      <c r="L45" s="3" t="n">
        <v>6104</v>
      </c>
      <c r="M45" s="3" t="s">
        <v>908</v>
      </c>
    </row>
    <row r="46" customFormat="false" ht="34.5" hidden="false" customHeight="true" outlineLevel="0" collapsed="false">
      <c r="A46" s="7" t="n">
        <v>46322</v>
      </c>
      <c r="B46" s="3" t="n">
        <v>45</v>
      </c>
      <c r="C46" s="3" t="s">
        <v>1173</v>
      </c>
      <c r="D46" s="3" t="s">
        <v>179</v>
      </c>
      <c r="E46" s="3" t="s">
        <v>924</v>
      </c>
      <c r="F46" s="3" t="s">
        <v>1174</v>
      </c>
      <c r="G46" s="3" t="s">
        <v>770</v>
      </c>
      <c r="H46" s="3" t="s">
        <v>1175</v>
      </c>
      <c r="I46" s="3" t="s">
        <v>1176</v>
      </c>
      <c r="J46" s="3" t="s">
        <v>1177</v>
      </c>
      <c r="K46" s="3" t="s">
        <v>1178</v>
      </c>
      <c r="L46" s="3" t="n">
        <v>7263</v>
      </c>
      <c r="M46" s="3" t="s">
        <v>908</v>
      </c>
    </row>
    <row r="47" customFormat="false" ht="23.25" hidden="false" customHeight="true" outlineLevel="0" collapsed="false">
      <c r="A47" s="7" t="n">
        <v>46322</v>
      </c>
      <c r="B47" s="3" t="n">
        <v>46</v>
      </c>
      <c r="C47" s="3" t="s">
        <v>1179</v>
      </c>
      <c r="D47" s="3" t="s">
        <v>179</v>
      </c>
      <c r="E47" s="3" t="s">
        <v>924</v>
      </c>
      <c r="F47" s="3" t="s">
        <v>1180</v>
      </c>
      <c r="G47" s="3" t="s">
        <v>770</v>
      </c>
      <c r="H47" s="3" t="s">
        <v>1181</v>
      </c>
      <c r="I47" s="3" t="s">
        <v>1182</v>
      </c>
      <c r="J47" s="3" t="s">
        <v>1183</v>
      </c>
      <c r="K47" s="3" t="s">
        <v>1184</v>
      </c>
      <c r="L47" s="3" t="n">
        <v>6899</v>
      </c>
      <c r="M47" s="3" t="s">
        <v>908</v>
      </c>
    </row>
    <row r="48" customFormat="false" ht="34.5" hidden="false" customHeight="true" outlineLevel="0" collapsed="false">
      <c r="A48" s="7" t="n">
        <v>46322</v>
      </c>
      <c r="B48" s="3" t="n">
        <v>47</v>
      </c>
      <c r="C48" s="3" t="s">
        <v>1185</v>
      </c>
      <c r="D48" s="3" t="s">
        <v>179</v>
      </c>
      <c r="E48" s="3" t="s">
        <v>924</v>
      </c>
      <c r="F48" s="3" t="s">
        <v>1186</v>
      </c>
      <c r="G48" s="3" t="s">
        <v>770</v>
      </c>
      <c r="H48" s="3" t="s">
        <v>1187</v>
      </c>
      <c r="I48" s="3" t="s">
        <v>1188</v>
      </c>
      <c r="J48" s="3" t="s">
        <v>1189</v>
      </c>
      <c r="K48" s="3" t="s">
        <v>1190</v>
      </c>
      <c r="L48" s="3" t="n">
        <v>6792</v>
      </c>
      <c r="M48" s="3" t="s">
        <v>908</v>
      </c>
    </row>
    <row r="49" customFormat="false" ht="34.5" hidden="false" customHeight="true" outlineLevel="0" collapsed="false">
      <c r="A49" s="7" t="n">
        <v>46322</v>
      </c>
      <c r="B49" s="3" t="n">
        <v>48</v>
      </c>
      <c r="C49" s="3" t="s">
        <v>1191</v>
      </c>
      <c r="D49" s="3" t="s">
        <v>179</v>
      </c>
      <c r="E49" s="3" t="s">
        <v>924</v>
      </c>
      <c r="F49" s="3" t="s">
        <v>1192</v>
      </c>
      <c r="G49" s="3" t="s">
        <v>770</v>
      </c>
      <c r="H49" s="3" t="s">
        <v>1193</v>
      </c>
      <c r="I49" s="3" t="s">
        <v>1194</v>
      </c>
      <c r="J49" s="3" t="s">
        <v>1195</v>
      </c>
      <c r="K49" s="3" t="s">
        <v>1196</v>
      </c>
      <c r="L49" s="3" t="n">
        <v>7678</v>
      </c>
      <c r="M49" s="3" t="s">
        <v>908</v>
      </c>
    </row>
    <row r="50" customFormat="false" ht="34.5" hidden="false" customHeight="true" outlineLevel="0" collapsed="false">
      <c r="A50" s="7" t="n">
        <v>46322</v>
      </c>
      <c r="B50" s="3" t="n">
        <v>49</v>
      </c>
      <c r="C50" s="3" t="s">
        <v>1197</v>
      </c>
      <c r="D50" s="3" t="s">
        <v>179</v>
      </c>
      <c r="E50" s="3" t="s">
        <v>924</v>
      </c>
      <c r="F50" s="3" t="s">
        <v>1198</v>
      </c>
      <c r="G50" s="3" t="s">
        <v>770</v>
      </c>
      <c r="H50" s="3" t="s">
        <v>1199</v>
      </c>
      <c r="I50" s="3" t="s">
        <v>1200</v>
      </c>
      <c r="J50" s="3" t="s">
        <v>1201</v>
      </c>
      <c r="K50" s="3" t="s">
        <v>1202</v>
      </c>
      <c r="L50" s="3" t="n">
        <v>7103</v>
      </c>
      <c r="M50" s="3" t="s">
        <v>908</v>
      </c>
    </row>
    <row r="51" customFormat="false" ht="34.5" hidden="false" customHeight="true" outlineLevel="0" collapsed="false">
      <c r="A51" s="7" t="n">
        <v>46322</v>
      </c>
      <c r="B51" s="3" t="n">
        <v>50</v>
      </c>
      <c r="C51" s="3" t="s">
        <v>1203</v>
      </c>
      <c r="D51" s="3" t="s">
        <v>179</v>
      </c>
      <c r="E51" s="3" t="s">
        <v>924</v>
      </c>
      <c r="F51" s="3" t="s">
        <v>1204</v>
      </c>
      <c r="G51" s="3" t="s">
        <v>770</v>
      </c>
      <c r="H51" s="3" t="s">
        <v>1205</v>
      </c>
      <c r="I51" s="3" t="s">
        <v>1206</v>
      </c>
      <c r="J51" s="3" t="s">
        <v>1207</v>
      </c>
      <c r="K51" s="3" t="s">
        <v>1208</v>
      </c>
      <c r="L51" s="3" t="n">
        <v>6829</v>
      </c>
      <c r="M51" s="3" t="s">
        <v>908</v>
      </c>
    </row>
    <row r="52" customFormat="false" ht="34.5" hidden="false" customHeight="true" outlineLevel="0" collapsed="false">
      <c r="A52" s="7" t="n">
        <v>46323</v>
      </c>
      <c r="B52" s="3" t="n">
        <v>51</v>
      </c>
      <c r="C52" s="3" t="s">
        <v>1209</v>
      </c>
      <c r="D52" s="3" t="s">
        <v>179</v>
      </c>
      <c r="E52" s="3" t="s">
        <v>924</v>
      </c>
      <c r="F52" s="3" t="s">
        <v>1210</v>
      </c>
      <c r="G52" s="3" t="s">
        <v>770</v>
      </c>
      <c r="H52" s="3" t="s">
        <v>1211</v>
      </c>
      <c r="I52" s="3" t="s">
        <v>1212</v>
      </c>
      <c r="J52" s="3" t="s">
        <v>1213</v>
      </c>
      <c r="K52" s="3" t="s">
        <v>1214</v>
      </c>
      <c r="L52" s="3" t="n">
        <v>7303</v>
      </c>
      <c r="M52" s="3" t="s">
        <v>908</v>
      </c>
    </row>
    <row r="53" customFormat="false" ht="34.5" hidden="false" customHeight="true" outlineLevel="0" collapsed="false">
      <c r="A53" s="7" t="n">
        <v>46323</v>
      </c>
      <c r="B53" s="3" t="n">
        <v>52</v>
      </c>
      <c r="C53" s="3" t="s">
        <v>1215</v>
      </c>
      <c r="D53" s="3" t="s">
        <v>179</v>
      </c>
      <c r="E53" s="3" t="s">
        <v>924</v>
      </c>
      <c r="F53" s="3" t="s">
        <v>1216</v>
      </c>
      <c r="G53" s="3" t="s">
        <v>770</v>
      </c>
      <c r="H53" s="3" t="s">
        <v>1217</v>
      </c>
      <c r="I53" s="3" t="s">
        <v>1218</v>
      </c>
      <c r="J53" s="3" t="s">
        <v>1219</v>
      </c>
      <c r="K53" s="3" t="s">
        <v>1220</v>
      </c>
      <c r="L53" s="3" t="n">
        <v>7316</v>
      </c>
      <c r="M53" s="3" t="s">
        <v>908</v>
      </c>
    </row>
    <row r="54" customFormat="false" ht="34.5" hidden="false" customHeight="true" outlineLevel="0" collapsed="false">
      <c r="A54" s="7" t="n">
        <v>46323</v>
      </c>
      <c r="B54" s="3" t="n">
        <v>53</v>
      </c>
      <c r="C54" s="3" t="s">
        <v>1221</v>
      </c>
      <c r="D54" s="3" t="s">
        <v>179</v>
      </c>
      <c r="E54" s="3" t="s">
        <v>924</v>
      </c>
      <c r="F54" s="3" t="s">
        <v>1222</v>
      </c>
      <c r="G54" s="3" t="s">
        <v>172</v>
      </c>
      <c r="H54" s="3" t="s">
        <v>1223</v>
      </c>
      <c r="I54" s="3" t="s">
        <v>1224</v>
      </c>
      <c r="J54" s="3" t="s">
        <v>1225</v>
      </c>
      <c r="K54" s="3" t="s">
        <v>1226</v>
      </c>
      <c r="L54" s="3" t="n">
        <v>13645</v>
      </c>
      <c r="M54" s="3" t="s">
        <v>908</v>
      </c>
    </row>
    <row r="55" customFormat="false" ht="34.5" hidden="false" customHeight="true" outlineLevel="0" collapsed="false">
      <c r="A55" s="7" t="n">
        <v>46323</v>
      </c>
      <c r="B55" s="3" t="n">
        <v>54</v>
      </c>
      <c r="C55" s="3" t="s">
        <v>1227</v>
      </c>
      <c r="D55" s="3" t="s">
        <v>179</v>
      </c>
      <c r="E55" s="3" t="s">
        <v>924</v>
      </c>
      <c r="F55" s="3" t="s">
        <v>1228</v>
      </c>
      <c r="G55" s="3" t="s">
        <v>172</v>
      </c>
      <c r="H55" s="3" t="s">
        <v>1229</v>
      </c>
      <c r="I55" s="3" t="s">
        <v>1230</v>
      </c>
      <c r="J55" s="3" t="s">
        <v>1231</v>
      </c>
      <c r="K55" s="3" t="s">
        <v>1232</v>
      </c>
      <c r="L55" s="3" t="n">
        <v>9472</v>
      </c>
      <c r="M55" s="3" t="s">
        <v>908</v>
      </c>
    </row>
    <row r="56" customFormat="false" ht="34.5" hidden="false" customHeight="true" outlineLevel="0" collapsed="false">
      <c r="A56" s="7" t="n">
        <v>46323</v>
      </c>
      <c r="B56" s="3" t="n">
        <v>55</v>
      </c>
      <c r="C56" s="3" t="s">
        <v>1233</v>
      </c>
      <c r="D56" s="3" t="s">
        <v>179</v>
      </c>
      <c r="E56" s="3" t="s">
        <v>924</v>
      </c>
      <c r="F56" s="3" t="s">
        <v>1234</v>
      </c>
      <c r="G56" s="3" t="s">
        <v>172</v>
      </c>
      <c r="H56" s="3" t="s">
        <v>1235</v>
      </c>
      <c r="I56" s="3" t="s">
        <v>1236</v>
      </c>
      <c r="J56" s="3" t="s">
        <v>1237</v>
      </c>
      <c r="K56" s="3" t="s">
        <v>1238</v>
      </c>
      <c r="L56" s="3" t="n">
        <v>11122</v>
      </c>
      <c r="M56" s="3" t="s">
        <v>908</v>
      </c>
    </row>
    <row r="57" customFormat="false" ht="34.5" hidden="false" customHeight="true" outlineLevel="0" collapsed="false">
      <c r="A57" s="7" t="n">
        <v>46323</v>
      </c>
      <c r="B57" s="3" t="n">
        <v>56</v>
      </c>
      <c r="C57" s="3" t="s">
        <v>1239</v>
      </c>
      <c r="D57" s="3" t="s">
        <v>179</v>
      </c>
      <c r="E57" s="3" t="s">
        <v>924</v>
      </c>
      <c r="F57" s="3" t="s">
        <v>1240</v>
      </c>
      <c r="G57" s="3" t="s">
        <v>172</v>
      </c>
      <c r="H57" s="3" t="s">
        <v>1241</v>
      </c>
      <c r="I57" s="3" t="s">
        <v>1242</v>
      </c>
      <c r="J57" s="3" t="s">
        <v>1243</v>
      </c>
      <c r="K57" s="3" t="s">
        <v>1244</v>
      </c>
      <c r="L57" s="3" t="n">
        <v>11797</v>
      </c>
      <c r="M57" s="3" t="s">
        <v>908</v>
      </c>
    </row>
    <row r="58" customFormat="false" ht="34.5" hidden="false" customHeight="true" outlineLevel="0" collapsed="false">
      <c r="A58" s="7" t="n">
        <v>46323</v>
      </c>
      <c r="B58" s="3" t="n">
        <v>57</v>
      </c>
      <c r="C58" s="3" t="s">
        <v>1245</v>
      </c>
      <c r="D58" s="3" t="s">
        <v>179</v>
      </c>
      <c r="E58" s="3" t="s">
        <v>924</v>
      </c>
      <c r="F58" s="3" t="s">
        <v>1246</v>
      </c>
      <c r="G58" s="3" t="s">
        <v>172</v>
      </c>
      <c r="H58" s="3" t="s">
        <v>1247</v>
      </c>
      <c r="I58" s="3" t="s">
        <v>1248</v>
      </c>
      <c r="J58" s="3" t="s">
        <v>1249</v>
      </c>
      <c r="K58" s="3" t="s">
        <v>1250</v>
      </c>
      <c r="L58" s="3" t="n">
        <v>11185</v>
      </c>
      <c r="M58" s="3" t="s">
        <v>908</v>
      </c>
    </row>
    <row r="59" customFormat="false" ht="23.25" hidden="false" customHeight="true" outlineLevel="0" collapsed="false">
      <c r="A59" s="7" t="n">
        <v>46323</v>
      </c>
      <c r="B59" s="3" t="n">
        <v>58</v>
      </c>
      <c r="C59" s="3" t="s">
        <v>1251</v>
      </c>
      <c r="D59" s="3" t="s">
        <v>179</v>
      </c>
      <c r="E59" s="3" t="s">
        <v>924</v>
      </c>
      <c r="F59" s="3" t="s">
        <v>1252</v>
      </c>
      <c r="G59" s="3" t="s">
        <v>172</v>
      </c>
      <c r="H59" s="3" t="s">
        <v>1253</v>
      </c>
      <c r="I59" s="3" t="s">
        <v>1254</v>
      </c>
      <c r="J59" s="3" t="s">
        <v>1255</v>
      </c>
      <c r="K59" s="3" t="s">
        <v>1256</v>
      </c>
      <c r="L59" s="3" t="n">
        <v>9526</v>
      </c>
      <c r="M59" s="3" t="s">
        <v>908</v>
      </c>
    </row>
    <row r="60" customFormat="false" ht="23.25" hidden="false" customHeight="true" outlineLevel="0" collapsed="false">
      <c r="A60" s="7" t="n">
        <v>46323</v>
      </c>
      <c r="B60" s="3" t="n">
        <v>59</v>
      </c>
      <c r="C60" s="3" t="s">
        <v>1257</v>
      </c>
      <c r="D60" s="3" t="s">
        <v>179</v>
      </c>
      <c r="E60" s="3" t="s">
        <v>924</v>
      </c>
      <c r="F60" s="3" t="s">
        <v>1258</v>
      </c>
      <c r="G60" s="3" t="s">
        <v>172</v>
      </c>
      <c r="H60" s="3" t="s">
        <v>1259</v>
      </c>
      <c r="I60" s="3" t="s">
        <v>1260</v>
      </c>
      <c r="J60" s="3" t="s">
        <v>1261</v>
      </c>
      <c r="K60" s="3" t="s">
        <v>1262</v>
      </c>
      <c r="L60" s="3" t="n">
        <v>10260</v>
      </c>
      <c r="M60" s="3" t="s">
        <v>908</v>
      </c>
    </row>
    <row r="61" customFormat="false" ht="34.5" hidden="false" customHeight="true" outlineLevel="0" collapsed="false">
      <c r="A61" s="7" t="n">
        <v>46323</v>
      </c>
      <c r="B61" s="3" t="n">
        <v>60</v>
      </c>
      <c r="C61" s="3" t="s">
        <v>1263</v>
      </c>
      <c r="D61" s="3" t="s">
        <v>179</v>
      </c>
      <c r="E61" s="3" t="s">
        <v>924</v>
      </c>
      <c r="F61" s="3" t="s">
        <v>1264</v>
      </c>
      <c r="G61" s="3" t="s">
        <v>172</v>
      </c>
      <c r="H61" s="3" t="s">
        <v>1265</v>
      </c>
      <c r="I61" s="3" t="s">
        <v>1266</v>
      </c>
      <c r="J61" s="3" t="s">
        <v>1267</v>
      </c>
      <c r="K61" s="3" t="s">
        <v>1268</v>
      </c>
      <c r="L61" s="3" t="n">
        <v>11548</v>
      </c>
      <c r="M61" s="3" t="s">
        <v>908</v>
      </c>
    </row>
    <row r="62" customFormat="false" ht="34.5" hidden="false" customHeight="true" outlineLevel="0" collapsed="false">
      <c r="A62" s="7" t="n">
        <v>46323</v>
      </c>
      <c r="B62" s="3" t="n">
        <v>61</v>
      </c>
      <c r="C62" s="3" t="s">
        <v>1269</v>
      </c>
      <c r="D62" s="3" t="s">
        <v>179</v>
      </c>
      <c r="E62" s="3" t="s">
        <v>924</v>
      </c>
      <c r="F62" s="3" t="s">
        <v>1270</v>
      </c>
      <c r="G62" s="3" t="s">
        <v>172</v>
      </c>
      <c r="H62" s="3" t="s">
        <v>1271</v>
      </c>
      <c r="I62" s="3" t="s">
        <v>1272</v>
      </c>
      <c r="J62" s="3" t="s">
        <v>1273</v>
      </c>
      <c r="K62" s="3" t="s">
        <v>1274</v>
      </c>
      <c r="L62" s="3" t="n">
        <v>9775</v>
      </c>
      <c r="M62" s="3" t="s">
        <v>908</v>
      </c>
    </row>
    <row r="63" customFormat="false" ht="34.5" hidden="false" customHeight="true" outlineLevel="0" collapsed="false">
      <c r="A63" s="7" t="n">
        <v>46323</v>
      </c>
      <c r="B63" s="3" t="n">
        <v>62</v>
      </c>
      <c r="C63" s="3" t="s">
        <v>1275</v>
      </c>
      <c r="D63" s="3" t="s">
        <v>179</v>
      </c>
      <c r="E63" s="3" t="s">
        <v>924</v>
      </c>
      <c r="F63" s="3" t="s">
        <v>1276</v>
      </c>
      <c r="G63" s="3" t="s">
        <v>172</v>
      </c>
      <c r="H63" s="3" t="s">
        <v>1277</v>
      </c>
      <c r="I63" s="3" t="s">
        <v>1278</v>
      </c>
      <c r="J63" s="3" t="s">
        <v>1279</v>
      </c>
      <c r="K63" s="3" t="s">
        <v>1280</v>
      </c>
      <c r="L63" s="3" t="n">
        <v>10327</v>
      </c>
      <c r="M63" s="3" t="s">
        <v>908</v>
      </c>
    </row>
    <row r="64" customFormat="false" ht="34.5" hidden="false" customHeight="true" outlineLevel="0" collapsed="false">
      <c r="A64" s="7" t="n">
        <v>46323</v>
      </c>
      <c r="B64" s="3" t="n">
        <v>63</v>
      </c>
      <c r="C64" s="3" t="s">
        <v>1281</v>
      </c>
      <c r="D64" s="3" t="s">
        <v>179</v>
      </c>
      <c r="E64" s="3" t="s">
        <v>924</v>
      </c>
      <c r="F64" s="3" t="s">
        <v>1282</v>
      </c>
      <c r="G64" s="3" t="s">
        <v>172</v>
      </c>
      <c r="H64" s="3" t="s">
        <v>1283</v>
      </c>
      <c r="I64" s="3" t="s">
        <v>1284</v>
      </c>
      <c r="J64" s="3" t="s">
        <v>1285</v>
      </c>
      <c r="K64" s="3" t="s">
        <v>1286</v>
      </c>
      <c r="L64" s="3" t="n">
        <v>11007</v>
      </c>
      <c r="M64" s="3" t="s">
        <v>908</v>
      </c>
    </row>
    <row r="65" customFormat="false" ht="34.5" hidden="false" customHeight="true" outlineLevel="0" collapsed="false">
      <c r="A65" s="7" t="n">
        <v>46323</v>
      </c>
      <c r="B65" s="3" t="n">
        <v>65</v>
      </c>
      <c r="C65" s="3" t="s">
        <v>1287</v>
      </c>
      <c r="D65" s="3" t="s">
        <v>179</v>
      </c>
      <c r="E65" s="3" t="s">
        <v>924</v>
      </c>
      <c r="F65" s="3" t="s">
        <v>1288</v>
      </c>
      <c r="G65" s="3" t="s">
        <v>172</v>
      </c>
      <c r="H65" s="3" t="s">
        <v>1289</v>
      </c>
      <c r="I65" s="3" t="s">
        <v>1290</v>
      </c>
      <c r="J65" s="3" t="s">
        <v>1291</v>
      </c>
      <c r="K65" s="3" t="s">
        <v>1292</v>
      </c>
      <c r="L65" s="3" t="n">
        <v>11987</v>
      </c>
      <c r="M65" s="3" t="s">
        <v>908</v>
      </c>
    </row>
    <row r="66" customFormat="false" ht="34.5" hidden="false" customHeight="true" outlineLevel="0" collapsed="false">
      <c r="A66" s="7" t="n">
        <v>46323</v>
      </c>
      <c r="B66" s="3" t="n">
        <v>66</v>
      </c>
      <c r="C66" s="3" t="s">
        <v>1293</v>
      </c>
      <c r="D66" s="3" t="s">
        <v>179</v>
      </c>
      <c r="E66" s="3" t="s">
        <v>924</v>
      </c>
      <c r="F66" s="3" t="s">
        <v>1294</v>
      </c>
      <c r="G66" s="3" t="s">
        <v>172</v>
      </c>
      <c r="H66" s="3" t="s">
        <v>1295</v>
      </c>
      <c r="I66" s="3" t="s">
        <v>1296</v>
      </c>
      <c r="J66" s="3" t="s">
        <v>1297</v>
      </c>
      <c r="K66" s="3" t="s">
        <v>1298</v>
      </c>
      <c r="L66" s="3" t="n">
        <v>9991</v>
      </c>
      <c r="M66" s="3" t="s">
        <v>908</v>
      </c>
    </row>
    <row r="67" customFormat="false" ht="34.5" hidden="false" customHeight="true" outlineLevel="0" collapsed="false">
      <c r="A67" s="7" t="n">
        <v>46323</v>
      </c>
      <c r="B67" s="3" t="n">
        <v>67</v>
      </c>
      <c r="C67" s="3" t="s">
        <v>1299</v>
      </c>
      <c r="D67" s="3" t="s">
        <v>179</v>
      </c>
      <c r="E67" s="3" t="s">
        <v>924</v>
      </c>
      <c r="F67" s="3" t="s">
        <v>1300</v>
      </c>
      <c r="G67" s="3" t="s">
        <v>172</v>
      </c>
      <c r="H67" s="3" t="s">
        <v>1301</v>
      </c>
      <c r="I67" s="3" t="s">
        <v>1302</v>
      </c>
      <c r="J67" s="3" t="s">
        <v>1303</v>
      </c>
      <c r="K67" s="3" t="s">
        <v>1304</v>
      </c>
      <c r="L67" s="3" t="n">
        <v>8952</v>
      </c>
      <c r="M67" s="3" t="s">
        <v>908</v>
      </c>
    </row>
    <row r="68" customFormat="false" ht="34.5" hidden="false" customHeight="true" outlineLevel="0" collapsed="false">
      <c r="A68" s="7" t="n">
        <v>46323</v>
      </c>
      <c r="B68" s="3" t="n">
        <v>68</v>
      </c>
      <c r="C68" s="3" t="s">
        <v>1305</v>
      </c>
      <c r="D68" s="3" t="s">
        <v>179</v>
      </c>
      <c r="E68" s="3" t="s">
        <v>924</v>
      </c>
      <c r="F68" s="3" t="s">
        <v>1306</v>
      </c>
      <c r="G68" s="3" t="s">
        <v>172</v>
      </c>
      <c r="H68" s="3" t="s">
        <v>1307</v>
      </c>
      <c r="I68" s="3" t="s">
        <v>1308</v>
      </c>
      <c r="J68" s="3" t="s">
        <v>1309</v>
      </c>
      <c r="K68" s="3" t="s">
        <v>1310</v>
      </c>
      <c r="L68" s="3" t="n">
        <v>10575</v>
      </c>
      <c r="M68" s="3" t="s">
        <v>908</v>
      </c>
    </row>
    <row r="69" customFormat="false" ht="34.5" hidden="false" customHeight="true" outlineLevel="0" collapsed="false">
      <c r="A69" s="7" t="n">
        <v>46323</v>
      </c>
      <c r="B69" s="3" t="n">
        <v>69</v>
      </c>
      <c r="C69" s="3" t="s">
        <v>1311</v>
      </c>
      <c r="D69" s="3" t="s">
        <v>179</v>
      </c>
      <c r="E69" s="3" t="s">
        <v>924</v>
      </c>
      <c r="F69" s="3" t="s">
        <v>1312</v>
      </c>
      <c r="G69" s="3" t="s">
        <v>172</v>
      </c>
      <c r="H69" s="3" t="s">
        <v>1313</v>
      </c>
      <c r="I69" s="3" t="s">
        <v>1314</v>
      </c>
      <c r="J69" s="3" t="s">
        <v>1315</v>
      </c>
      <c r="K69" s="3" t="s">
        <v>1316</v>
      </c>
      <c r="L69" s="3" t="n">
        <v>10855</v>
      </c>
      <c r="M69" s="3" t="s">
        <v>908</v>
      </c>
    </row>
    <row r="70" customFormat="false" ht="34.5" hidden="false" customHeight="true" outlineLevel="0" collapsed="false">
      <c r="A70" s="7" t="n">
        <v>46323</v>
      </c>
      <c r="B70" s="3" t="n">
        <v>70</v>
      </c>
      <c r="C70" s="3" t="s">
        <v>1317</v>
      </c>
      <c r="D70" s="3" t="s">
        <v>179</v>
      </c>
      <c r="E70" s="3" t="s">
        <v>924</v>
      </c>
      <c r="F70" s="3" t="s">
        <v>1318</v>
      </c>
      <c r="G70" s="3" t="s">
        <v>172</v>
      </c>
      <c r="H70" s="3" t="s">
        <v>1319</v>
      </c>
      <c r="I70" s="3" t="s">
        <v>1320</v>
      </c>
      <c r="J70" s="3" t="s">
        <v>1321</v>
      </c>
      <c r="K70" s="3" t="s">
        <v>1322</v>
      </c>
      <c r="L70" s="3" t="n">
        <v>8651</v>
      </c>
      <c r="M70" s="3" t="s">
        <v>908</v>
      </c>
    </row>
    <row r="71" customFormat="false" ht="34.5" hidden="false" customHeight="true" outlineLevel="0" collapsed="false">
      <c r="A71" s="7" t="n">
        <v>46323</v>
      </c>
      <c r="B71" s="3" t="n">
        <v>71</v>
      </c>
      <c r="C71" s="3" t="s">
        <v>1323</v>
      </c>
      <c r="D71" s="3" t="s">
        <v>179</v>
      </c>
      <c r="E71" s="3" t="s">
        <v>924</v>
      </c>
      <c r="F71" s="3" t="s">
        <v>1324</v>
      </c>
      <c r="G71" s="3" t="s">
        <v>172</v>
      </c>
      <c r="H71" s="3" t="s">
        <v>1325</v>
      </c>
      <c r="I71" s="3" t="s">
        <v>1326</v>
      </c>
      <c r="J71" s="3" t="s">
        <v>1327</v>
      </c>
      <c r="K71" s="3" t="s">
        <v>1328</v>
      </c>
      <c r="L71" s="3" t="n">
        <v>9010</v>
      </c>
      <c r="M71" s="3" t="s">
        <v>908</v>
      </c>
    </row>
    <row r="72" customFormat="false" ht="34.5" hidden="false" customHeight="true" outlineLevel="0" collapsed="false">
      <c r="A72" s="7" t="n">
        <v>46323</v>
      </c>
      <c r="B72" s="3" t="n">
        <v>72</v>
      </c>
      <c r="C72" s="3" t="s">
        <v>1329</v>
      </c>
      <c r="D72" s="3" t="s">
        <v>179</v>
      </c>
      <c r="E72" s="3" t="s">
        <v>924</v>
      </c>
      <c r="F72" s="3" t="s">
        <v>1330</v>
      </c>
      <c r="G72" s="3" t="s">
        <v>172</v>
      </c>
      <c r="H72" s="3" t="s">
        <v>1331</v>
      </c>
      <c r="I72" s="3" t="s">
        <v>1332</v>
      </c>
      <c r="J72" s="3" t="s">
        <v>1333</v>
      </c>
      <c r="K72" s="3" t="s">
        <v>1334</v>
      </c>
      <c r="L72" s="3" t="n">
        <v>7961</v>
      </c>
      <c r="M72" s="3" t="s">
        <v>908</v>
      </c>
    </row>
    <row r="73" customFormat="false" ht="34.5" hidden="false" customHeight="true" outlineLevel="0" collapsed="false">
      <c r="A73" s="7" t="n">
        <v>46323</v>
      </c>
      <c r="B73" s="3" t="n">
        <v>73</v>
      </c>
      <c r="C73" s="3" t="s">
        <v>1335</v>
      </c>
      <c r="D73" s="3" t="s">
        <v>29</v>
      </c>
      <c r="E73" s="3" t="s">
        <v>1336</v>
      </c>
      <c r="F73" s="3" t="s">
        <v>1337</v>
      </c>
      <c r="G73" s="3" t="s">
        <v>199</v>
      </c>
      <c r="H73" s="3" t="s">
        <v>1338</v>
      </c>
      <c r="I73" s="3" t="s">
        <v>1339</v>
      </c>
      <c r="J73" s="3" t="s">
        <v>1340</v>
      </c>
      <c r="K73" s="3" t="s">
        <v>1341</v>
      </c>
      <c r="L73" s="3" t="n">
        <v>12011</v>
      </c>
      <c r="M73" s="3" t="s">
        <v>908</v>
      </c>
    </row>
    <row r="74" customFormat="false" ht="34.5" hidden="false" customHeight="true" outlineLevel="0" collapsed="false">
      <c r="A74" s="7" t="n">
        <v>46323</v>
      </c>
      <c r="B74" s="3" t="n">
        <v>74</v>
      </c>
      <c r="C74" s="3" t="s">
        <v>1342</v>
      </c>
      <c r="D74" s="3" t="s">
        <v>29</v>
      </c>
      <c r="E74" s="3" t="s">
        <v>1336</v>
      </c>
      <c r="F74" s="3" t="s">
        <v>1343</v>
      </c>
      <c r="G74" s="3" t="s">
        <v>199</v>
      </c>
      <c r="H74" s="3" t="s">
        <v>1344</v>
      </c>
      <c r="I74" s="3" t="s">
        <v>1345</v>
      </c>
      <c r="J74" s="3" t="s">
        <v>1346</v>
      </c>
      <c r="K74" s="3" t="s">
        <v>1347</v>
      </c>
      <c r="L74" s="3" t="n">
        <v>8177</v>
      </c>
      <c r="M74" s="3" t="s">
        <v>908</v>
      </c>
    </row>
    <row r="75" customFormat="false" ht="34.5" hidden="false" customHeight="true" outlineLevel="0" collapsed="false">
      <c r="A75" s="7" t="n">
        <v>46323</v>
      </c>
      <c r="B75" s="3" t="n">
        <v>75</v>
      </c>
      <c r="C75" s="3" t="s">
        <v>1348</v>
      </c>
      <c r="D75" s="3" t="s">
        <v>29</v>
      </c>
      <c r="E75" s="3" t="s">
        <v>1336</v>
      </c>
      <c r="F75" s="3" t="s">
        <v>1349</v>
      </c>
      <c r="G75" s="3" t="s">
        <v>1350</v>
      </c>
      <c r="H75" s="3" t="s">
        <v>1351</v>
      </c>
      <c r="I75" s="3" t="s">
        <v>1352</v>
      </c>
      <c r="J75" s="3" t="s">
        <v>1353</v>
      </c>
      <c r="K75" s="3" t="s">
        <v>1354</v>
      </c>
      <c r="L75" s="3" t="n">
        <v>9158</v>
      </c>
      <c r="M75" s="3" t="s">
        <v>908</v>
      </c>
    </row>
    <row r="76" customFormat="false" ht="34.5" hidden="false" customHeight="true" outlineLevel="0" collapsed="false">
      <c r="A76" s="7" t="n">
        <v>46323</v>
      </c>
      <c r="B76" s="3" t="n">
        <v>76</v>
      </c>
      <c r="C76" s="3" t="s">
        <v>1355</v>
      </c>
      <c r="D76" s="3" t="s">
        <v>29</v>
      </c>
      <c r="E76" s="3" t="s">
        <v>1336</v>
      </c>
      <c r="F76" s="3" t="s">
        <v>1356</v>
      </c>
      <c r="G76" s="3" t="s">
        <v>1350</v>
      </c>
      <c r="H76" s="3" t="s">
        <v>1357</v>
      </c>
      <c r="I76" s="3" t="s">
        <v>1358</v>
      </c>
      <c r="J76" s="3" t="s">
        <v>1359</v>
      </c>
      <c r="K76" s="3" t="s">
        <v>1360</v>
      </c>
      <c r="L76" s="3" t="n">
        <v>6938</v>
      </c>
      <c r="M76" s="3" t="s">
        <v>908</v>
      </c>
    </row>
    <row r="77" customFormat="false" ht="34.5" hidden="false" customHeight="true" outlineLevel="0" collapsed="false">
      <c r="A77" s="7" t="n">
        <v>46323</v>
      </c>
      <c r="B77" s="3" t="n">
        <v>77</v>
      </c>
      <c r="C77" s="3" t="s">
        <v>1361</v>
      </c>
      <c r="D77" s="3" t="s">
        <v>29</v>
      </c>
      <c r="E77" s="3" t="s">
        <v>1336</v>
      </c>
      <c r="F77" s="3" t="s">
        <v>1362</v>
      </c>
      <c r="G77" s="3" t="s">
        <v>1350</v>
      </c>
      <c r="H77" s="3" t="s">
        <v>1363</v>
      </c>
      <c r="I77" s="3" t="s">
        <v>1364</v>
      </c>
      <c r="J77" s="3" t="s">
        <v>1365</v>
      </c>
      <c r="K77" s="3" t="s">
        <v>1366</v>
      </c>
      <c r="L77" s="3" t="n">
        <v>7734</v>
      </c>
      <c r="M77" s="3" t="s">
        <v>908</v>
      </c>
    </row>
    <row r="78" customFormat="false" ht="34.5" hidden="false" customHeight="true" outlineLevel="0" collapsed="false">
      <c r="A78" s="7" t="n">
        <v>46323</v>
      </c>
      <c r="B78" s="3" t="n">
        <v>78</v>
      </c>
      <c r="C78" s="3" t="s">
        <v>1367</v>
      </c>
      <c r="D78" s="3" t="s">
        <v>29</v>
      </c>
      <c r="E78" s="3" t="s">
        <v>1336</v>
      </c>
      <c r="F78" s="3" t="s">
        <v>1368</v>
      </c>
      <c r="G78" s="3" t="s">
        <v>1144</v>
      </c>
      <c r="H78" s="3" t="s">
        <v>1369</v>
      </c>
      <c r="I78" s="3" t="s">
        <v>1370</v>
      </c>
      <c r="J78" s="3" t="s">
        <v>1371</v>
      </c>
      <c r="K78" s="3" t="s">
        <v>1372</v>
      </c>
      <c r="L78" s="3" t="n">
        <v>7602</v>
      </c>
      <c r="M78" s="3" t="s">
        <v>908</v>
      </c>
    </row>
    <row r="79" customFormat="false" ht="34.5" hidden="false" customHeight="true" outlineLevel="0" collapsed="false">
      <c r="A79" s="7" t="n">
        <v>46323</v>
      </c>
      <c r="B79" s="3" t="n">
        <v>79</v>
      </c>
      <c r="C79" s="3" t="s">
        <v>1373</v>
      </c>
      <c r="D79" s="3" t="s">
        <v>29</v>
      </c>
      <c r="E79" s="3" t="s">
        <v>1336</v>
      </c>
      <c r="F79" s="3" t="s">
        <v>1374</v>
      </c>
      <c r="G79" s="3" t="s">
        <v>1144</v>
      </c>
      <c r="H79" s="3" t="s">
        <v>1375</v>
      </c>
      <c r="I79" s="3" t="s">
        <v>1376</v>
      </c>
      <c r="J79" s="3" t="s">
        <v>1377</v>
      </c>
      <c r="K79" s="3" t="s">
        <v>1378</v>
      </c>
      <c r="L79" s="3" t="n">
        <v>7450</v>
      </c>
      <c r="M79" s="3" t="s">
        <v>908</v>
      </c>
    </row>
    <row r="80" customFormat="false" ht="34.5" hidden="false" customHeight="true" outlineLevel="0" collapsed="false">
      <c r="A80" s="7" t="n">
        <v>46323</v>
      </c>
      <c r="B80" s="3" t="n">
        <v>80</v>
      </c>
      <c r="C80" s="3" t="s">
        <v>1379</v>
      </c>
      <c r="D80" s="3" t="s">
        <v>29</v>
      </c>
      <c r="E80" s="3" t="s">
        <v>1336</v>
      </c>
      <c r="F80" s="3" t="s">
        <v>1380</v>
      </c>
      <c r="G80" s="3" t="s">
        <v>1144</v>
      </c>
      <c r="H80" s="3" t="s">
        <v>1381</v>
      </c>
      <c r="I80" s="3" t="s">
        <v>1382</v>
      </c>
      <c r="J80" s="3" t="s">
        <v>1383</v>
      </c>
      <c r="K80" s="3" t="s">
        <v>1384</v>
      </c>
      <c r="L80" s="3" t="n">
        <v>6987</v>
      </c>
      <c r="M80" s="3" t="s">
        <v>908</v>
      </c>
    </row>
    <row r="81" customFormat="false" ht="34.5" hidden="false" customHeight="true" outlineLevel="0" collapsed="false">
      <c r="A81" s="7" t="n">
        <v>46323</v>
      </c>
      <c r="B81" s="3" t="n">
        <v>81</v>
      </c>
      <c r="C81" s="3" t="s">
        <v>1385</v>
      </c>
      <c r="D81" s="3" t="s">
        <v>29</v>
      </c>
      <c r="E81" s="3" t="s">
        <v>1336</v>
      </c>
      <c r="F81" s="3" t="s">
        <v>1386</v>
      </c>
      <c r="G81" s="3" t="s">
        <v>1144</v>
      </c>
      <c r="H81" s="3" t="s">
        <v>1387</v>
      </c>
      <c r="I81" s="3" t="s">
        <v>1388</v>
      </c>
      <c r="J81" s="3" t="s">
        <v>1389</v>
      </c>
      <c r="K81" s="3" t="s">
        <v>1390</v>
      </c>
      <c r="L81" s="3" t="n">
        <v>7114</v>
      </c>
      <c r="M81" s="3" t="s">
        <v>908</v>
      </c>
    </row>
    <row r="82" customFormat="false" ht="34.5" hidden="false" customHeight="true" outlineLevel="0" collapsed="false">
      <c r="A82" s="7" t="n">
        <v>46323</v>
      </c>
      <c r="B82" s="3" t="n">
        <v>82</v>
      </c>
      <c r="C82" s="3" t="s">
        <v>1391</v>
      </c>
      <c r="D82" s="3" t="s">
        <v>29</v>
      </c>
      <c r="E82" s="3" t="s">
        <v>1336</v>
      </c>
      <c r="F82" s="3" t="s">
        <v>1392</v>
      </c>
      <c r="G82" s="3" t="s">
        <v>1144</v>
      </c>
      <c r="H82" s="3" t="s">
        <v>1393</v>
      </c>
      <c r="I82" s="3" t="s">
        <v>1394</v>
      </c>
      <c r="J82" s="3" t="s">
        <v>1395</v>
      </c>
      <c r="K82" s="3" t="s">
        <v>1396</v>
      </c>
      <c r="L82" s="3" t="n">
        <v>8655</v>
      </c>
      <c r="M82" s="3" t="s">
        <v>908</v>
      </c>
    </row>
    <row r="83" customFormat="false" ht="34.5" hidden="false" customHeight="true" outlineLevel="0" collapsed="false">
      <c r="A83" s="7" t="n">
        <v>46323</v>
      </c>
      <c r="B83" s="3" t="n">
        <v>83</v>
      </c>
      <c r="C83" s="3" t="s">
        <v>1397</v>
      </c>
      <c r="D83" s="3" t="s">
        <v>29</v>
      </c>
      <c r="E83" s="3" t="s">
        <v>1336</v>
      </c>
      <c r="F83" s="3" t="s">
        <v>1398</v>
      </c>
      <c r="G83" s="3" t="s">
        <v>1144</v>
      </c>
      <c r="H83" s="3" t="s">
        <v>1399</v>
      </c>
      <c r="I83" s="3" t="s">
        <v>1400</v>
      </c>
      <c r="J83" s="3" t="s">
        <v>1401</v>
      </c>
      <c r="K83" s="3" t="s">
        <v>1402</v>
      </c>
      <c r="L83" s="3" t="n">
        <v>8239</v>
      </c>
      <c r="M83" s="3" t="s">
        <v>908</v>
      </c>
    </row>
    <row r="84" customFormat="false" ht="34.5" hidden="false" customHeight="true" outlineLevel="0" collapsed="false">
      <c r="A84" s="7" t="n">
        <v>46323</v>
      </c>
      <c r="B84" s="3" t="n">
        <v>84</v>
      </c>
      <c r="C84" s="3" t="s">
        <v>1403</v>
      </c>
      <c r="D84" s="3" t="s">
        <v>29</v>
      </c>
      <c r="E84" s="3" t="s">
        <v>1336</v>
      </c>
      <c r="F84" s="3" t="s">
        <v>1404</v>
      </c>
      <c r="G84" s="3" t="s">
        <v>1144</v>
      </c>
      <c r="H84" s="3" t="s">
        <v>1405</v>
      </c>
      <c r="I84" s="3" t="s">
        <v>1406</v>
      </c>
      <c r="J84" s="3" t="s">
        <v>1407</v>
      </c>
      <c r="K84" s="3" t="s">
        <v>1408</v>
      </c>
      <c r="L84" s="3" t="n">
        <v>8021</v>
      </c>
      <c r="M84" s="3" t="s">
        <v>908</v>
      </c>
    </row>
    <row r="85" customFormat="false" ht="34.5" hidden="false" customHeight="true" outlineLevel="0" collapsed="false">
      <c r="A85" s="7" t="n">
        <v>46323</v>
      </c>
      <c r="B85" s="3" t="n">
        <v>85</v>
      </c>
      <c r="C85" s="3" t="s">
        <v>1409</v>
      </c>
      <c r="D85" s="3" t="s">
        <v>29</v>
      </c>
      <c r="E85" s="3" t="s">
        <v>1336</v>
      </c>
      <c r="F85" s="3" t="s">
        <v>1410</v>
      </c>
      <c r="G85" s="3" t="s">
        <v>1144</v>
      </c>
      <c r="H85" s="3" t="s">
        <v>1411</v>
      </c>
      <c r="I85" s="3" t="s">
        <v>1412</v>
      </c>
      <c r="J85" s="3" t="s">
        <v>1413</v>
      </c>
      <c r="K85" s="3" t="s">
        <v>1414</v>
      </c>
      <c r="L85" s="3" t="n">
        <v>7480</v>
      </c>
      <c r="M85" s="3" t="s">
        <v>908</v>
      </c>
    </row>
    <row r="86" customFormat="false" ht="34.5" hidden="false" customHeight="true" outlineLevel="0" collapsed="false">
      <c r="A86" s="7" t="n">
        <v>46323</v>
      </c>
      <c r="B86" s="3" t="n">
        <v>86</v>
      </c>
      <c r="C86" s="3" t="s">
        <v>1415</v>
      </c>
      <c r="D86" s="3" t="s">
        <v>179</v>
      </c>
      <c r="E86" s="3" t="s">
        <v>924</v>
      </c>
      <c r="F86" s="3" t="s">
        <v>1416</v>
      </c>
      <c r="G86" s="3" t="s">
        <v>493</v>
      </c>
      <c r="H86" s="3" t="s">
        <v>1417</v>
      </c>
      <c r="I86" s="3" t="s">
        <v>1418</v>
      </c>
      <c r="J86" s="3" t="s">
        <v>1419</v>
      </c>
      <c r="K86" s="3" t="s">
        <v>1420</v>
      </c>
      <c r="L86" s="3" t="n">
        <v>7087</v>
      </c>
      <c r="M86" s="3" t="s">
        <v>908</v>
      </c>
    </row>
    <row r="87" customFormat="false" ht="34.5" hidden="false" customHeight="true" outlineLevel="0" collapsed="false">
      <c r="A87" s="7" t="n">
        <v>46323</v>
      </c>
      <c r="B87" s="3" t="n">
        <v>87</v>
      </c>
      <c r="C87" s="3" t="s">
        <v>1421</v>
      </c>
      <c r="D87" s="3" t="s">
        <v>179</v>
      </c>
      <c r="E87" s="3" t="s">
        <v>924</v>
      </c>
      <c r="F87" s="3" t="s">
        <v>1422</v>
      </c>
      <c r="G87" s="3" t="s">
        <v>493</v>
      </c>
      <c r="H87" s="3" t="s">
        <v>1423</v>
      </c>
      <c r="I87" s="3" t="s">
        <v>1424</v>
      </c>
      <c r="J87" s="3" t="s">
        <v>1425</v>
      </c>
      <c r="K87" s="3" t="s">
        <v>1426</v>
      </c>
      <c r="L87" s="3" t="n">
        <v>6846</v>
      </c>
      <c r="M87" s="3" t="s">
        <v>908</v>
      </c>
    </row>
    <row r="88" customFormat="false" ht="34.5" hidden="false" customHeight="true" outlineLevel="0" collapsed="false">
      <c r="A88" s="7" t="n">
        <v>46323</v>
      </c>
      <c r="B88" s="3" t="n">
        <v>88</v>
      </c>
      <c r="C88" s="3" t="s">
        <v>1427</v>
      </c>
      <c r="D88" s="3" t="s">
        <v>179</v>
      </c>
      <c r="E88" s="3" t="s">
        <v>924</v>
      </c>
      <c r="F88" s="3" t="s">
        <v>1428</v>
      </c>
      <c r="G88" s="3" t="s">
        <v>493</v>
      </c>
      <c r="H88" s="3" t="s">
        <v>1429</v>
      </c>
      <c r="I88" s="3" t="s">
        <v>1430</v>
      </c>
      <c r="J88" s="3" t="s">
        <v>1431</v>
      </c>
      <c r="K88" s="3" t="s">
        <v>1432</v>
      </c>
      <c r="L88" s="3" t="n">
        <v>6106</v>
      </c>
      <c r="M88" s="3" t="s">
        <v>908</v>
      </c>
    </row>
    <row r="89" customFormat="false" ht="34.5" hidden="false" customHeight="true" outlineLevel="0" collapsed="false">
      <c r="A89" s="7" t="n">
        <v>46323</v>
      </c>
      <c r="B89" s="3" t="n">
        <v>89</v>
      </c>
      <c r="C89" s="3" t="s">
        <v>1433</v>
      </c>
      <c r="D89" s="3" t="s">
        <v>179</v>
      </c>
      <c r="E89" s="3" t="s">
        <v>924</v>
      </c>
      <c r="F89" s="3" t="s">
        <v>1434</v>
      </c>
      <c r="G89" s="3" t="s">
        <v>493</v>
      </c>
      <c r="H89" s="3" t="s">
        <v>1435</v>
      </c>
      <c r="I89" s="3" t="s">
        <v>1436</v>
      </c>
      <c r="J89" s="3" t="s">
        <v>1437</v>
      </c>
      <c r="K89" s="3" t="s">
        <v>1438</v>
      </c>
      <c r="L89" s="3" t="n">
        <v>5490</v>
      </c>
      <c r="M89" s="3" t="s">
        <v>908</v>
      </c>
    </row>
    <row r="90" customFormat="false" ht="34.5" hidden="false" customHeight="true" outlineLevel="0" collapsed="false">
      <c r="A90" s="7" t="n">
        <v>46323</v>
      </c>
      <c r="B90" s="3" t="n">
        <v>90</v>
      </c>
      <c r="C90" s="3" t="s">
        <v>1439</v>
      </c>
      <c r="D90" s="3" t="s">
        <v>29</v>
      </c>
      <c r="E90" s="3" t="s">
        <v>1336</v>
      </c>
      <c r="F90" s="3" t="s">
        <v>1440</v>
      </c>
      <c r="G90" s="3" t="s">
        <v>493</v>
      </c>
      <c r="H90" s="3" t="s">
        <v>1441</v>
      </c>
      <c r="I90" s="3" t="s">
        <v>1442</v>
      </c>
      <c r="J90" s="3" t="s">
        <v>1443</v>
      </c>
      <c r="K90" s="3" t="s">
        <v>1444</v>
      </c>
      <c r="L90" s="3" t="n">
        <v>6535</v>
      </c>
      <c r="M90" s="3" t="s">
        <v>908</v>
      </c>
    </row>
    <row r="91" customFormat="false" ht="34.5" hidden="false" customHeight="true" outlineLevel="0" collapsed="false">
      <c r="A91" s="7" t="n">
        <v>46323</v>
      </c>
      <c r="B91" s="3" t="n">
        <v>91</v>
      </c>
      <c r="C91" s="3" t="s">
        <v>1445</v>
      </c>
      <c r="D91" s="3" t="s">
        <v>29</v>
      </c>
      <c r="E91" s="3" t="s">
        <v>1336</v>
      </c>
      <c r="F91" s="3" t="s">
        <v>1446</v>
      </c>
      <c r="G91" s="3" t="s">
        <v>493</v>
      </c>
      <c r="H91" s="3" t="s">
        <v>1447</v>
      </c>
      <c r="I91" s="3" t="s">
        <v>1448</v>
      </c>
      <c r="J91" s="3" t="s">
        <v>1449</v>
      </c>
      <c r="K91" s="3" t="s">
        <v>1450</v>
      </c>
      <c r="L91" s="3" t="n">
        <v>6366</v>
      </c>
      <c r="M91" s="3" t="s">
        <v>908</v>
      </c>
    </row>
    <row r="92" customFormat="false" ht="23.25" hidden="false" customHeight="true" outlineLevel="0" collapsed="false">
      <c r="A92" s="7" t="n">
        <v>46323</v>
      </c>
      <c r="B92" s="3" t="n">
        <v>92</v>
      </c>
      <c r="C92" s="3" t="s">
        <v>1451</v>
      </c>
      <c r="D92" s="3" t="s">
        <v>29</v>
      </c>
      <c r="E92" s="3" t="s">
        <v>1336</v>
      </c>
      <c r="F92" s="3" t="s">
        <v>1452</v>
      </c>
      <c r="G92" s="3" t="s">
        <v>493</v>
      </c>
      <c r="H92" s="3" t="s">
        <v>1453</v>
      </c>
      <c r="I92" s="3" t="s">
        <v>1454</v>
      </c>
      <c r="J92" s="3" t="s">
        <v>1455</v>
      </c>
      <c r="K92" s="3" t="s">
        <v>1456</v>
      </c>
      <c r="L92" s="3" t="n">
        <v>6623</v>
      </c>
      <c r="M92" s="3" t="s">
        <v>908</v>
      </c>
    </row>
    <row r="93" customFormat="false" ht="34.5" hidden="false" customHeight="true" outlineLevel="0" collapsed="false">
      <c r="A93" s="7" t="n">
        <v>46323</v>
      </c>
      <c r="B93" s="3" t="n">
        <v>93</v>
      </c>
      <c r="C93" s="3" t="s">
        <v>1457</v>
      </c>
      <c r="D93" s="3" t="s">
        <v>29</v>
      </c>
      <c r="E93" s="3" t="s">
        <v>1336</v>
      </c>
      <c r="F93" s="3" t="s">
        <v>1458</v>
      </c>
      <c r="G93" s="3" t="s">
        <v>493</v>
      </c>
      <c r="H93" s="3" t="s">
        <v>1459</v>
      </c>
      <c r="I93" s="3" t="s">
        <v>1460</v>
      </c>
      <c r="J93" s="3" t="s">
        <v>1461</v>
      </c>
      <c r="K93" s="3" t="s">
        <v>1462</v>
      </c>
      <c r="L93" s="3" t="n">
        <v>6429</v>
      </c>
      <c r="M93" s="3" t="s">
        <v>908</v>
      </c>
    </row>
    <row r="94" customFormat="false" ht="34.5" hidden="false" customHeight="true" outlineLevel="0" collapsed="false">
      <c r="A94" s="7" t="n">
        <v>46323</v>
      </c>
      <c r="B94" s="3" t="n">
        <v>94</v>
      </c>
      <c r="C94" s="3" t="s">
        <v>1463</v>
      </c>
      <c r="D94" s="3" t="s">
        <v>29</v>
      </c>
      <c r="E94" s="3" t="s">
        <v>1336</v>
      </c>
      <c r="F94" s="3" t="s">
        <v>1464</v>
      </c>
      <c r="G94" s="3" t="s">
        <v>493</v>
      </c>
      <c r="H94" s="3" t="s">
        <v>1465</v>
      </c>
      <c r="I94" s="3" t="s">
        <v>1466</v>
      </c>
      <c r="J94" s="3" t="s">
        <v>1467</v>
      </c>
      <c r="K94" s="3" t="s">
        <v>1468</v>
      </c>
      <c r="L94" s="3" t="n">
        <v>6712</v>
      </c>
      <c r="M94" s="3" t="s">
        <v>908</v>
      </c>
    </row>
    <row r="95" customFormat="false" ht="34.5" hidden="false" customHeight="true" outlineLevel="0" collapsed="false">
      <c r="A95" s="7" t="n">
        <v>46323</v>
      </c>
      <c r="B95" s="3" t="n">
        <v>95</v>
      </c>
      <c r="C95" s="3" t="s">
        <v>1469</v>
      </c>
      <c r="D95" s="3" t="s">
        <v>179</v>
      </c>
      <c r="E95" s="3" t="s">
        <v>924</v>
      </c>
      <c r="F95" s="3" t="s">
        <v>1470</v>
      </c>
      <c r="G95" s="3" t="s">
        <v>1471</v>
      </c>
      <c r="H95" s="3" t="s">
        <v>1472</v>
      </c>
      <c r="I95" s="3" t="s">
        <v>1473</v>
      </c>
      <c r="J95" s="3" t="s">
        <v>1474</v>
      </c>
      <c r="K95" s="3" t="s">
        <v>1475</v>
      </c>
      <c r="L95" s="3" t="n">
        <v>6524</v>
      </c>
      <c r="M95" s="3" t="s">
        <v>908</v>
      </c>
    </row>
    <row r="96" customFormat="false" ht="34.5" hidden="false" customHeight="true" outlineLevel="0" collapsed="false">
      <c r="A96" s="7" t="n">
        <v>46323</v>
      </c>
      <c r="B96" s="3" t="n">
        <v>96</v>
      </c>
      <c r="C96" s="3" t="s">
        <v>1476</v>
      </c>
      <c r="D96" s="3" t="s">
        <v>179</v>
      </c>
      <c r="E96" s="3" t="s">
        <v>924</v>
      </c>
      <c r="F96" s="3" t="s">
        <v>1477</v>
      </c>
      <c r="G96" s="3" t="s">
        <v>876</v>
      </c>
      <c r="H96" s="3" t="s">
        <v>1478</v>
      </c>
      <c r="I96" s="3" t="s">
        <v>1479</v>
      </c>
      <c r="J96" s="3" t="s">
        <v>1480</v>
      </c>
      <c r="K96" s="3" t="s">
        <v>1481</v>
      </c>
      <c r="L96" s="3" t="n">
        <v>7611</v>
      </c>
      <c r="M96" s="3" t="s">
        <v>908</v>
      </c>
    </row>
    <row r="97" customFormat="false" ht="34.5" hidden="false" customHeight="true" outlineLevel="0" collapsed="false">
      <c r="A97" s="7" t="n">
        <v>46323</v>
      </c>
      <c r="B97" s="3" t="n">
        <v>98</v>
      </c>
      <c r="C97" s="3" t="s">
        <v>1482</v>
      </c>
      <c r="D97" s="3" t="s">
        <v>179</v>
      </c>
      <c r="E97" s="3" t="s">
        <v>924</v>
      </c>
      <c r="F97" s="3" t="s">
        <v>1483</v>
      </c>
      <c r="G97" s="3" t="s">
        <v>876</v>
      </c>
      <c r="H97" s="3" t="s">
        <v>1484</v>
      </c>
      <c r="I97" s="3" t="s">
        <v>1485</v>
      </c>
      <c r="J97" s="3" t="s">
        <v>1486</v>
      </c>
      <c r="K97" s="3" t="s">
        <v>1487</v>
      </c>
      <c r="L97" s="3" t="n">
        <v>7530</v>
      </c>
      <c r="M97" s="3" t="s">
        <v>908</v>
      </c>
    </row>
    <row r="98" customFormat="false" ht="34.5" hidden="false" customHeight="true" outlineLevel="0" collapsed="false">
      <c r="A98" s="7" t="n">
        <v>46323</v>
      </c>
      <c r="B98" s="3" t="n">
        <v>99</v>
      </c>
      <c r="C98" s="3" t="s">
        <v>1488</v>
      </c>
      <c r="D98" s="3" t="s">
        <v>179</v>
      </c>
      <c r="E98" s="3" t="s">
        <v>924</v>
      </c>
      <c r="F98" s="3" t="s">
        <v>1489</v>
      </c>
      <c r="G98" s="3" t="s">
        <v>518</v>
      </c>
      <c r="H98" s="3" t="s">
        <v>1490</v>
      </c>
      <c r="I98" s="3" t="s">
        <v>1491</v>
      </c>
      <c r="J98" s="3" t="s">
        <v>1492</v>
      </c>
      <c r="K98" s="3" t="s">
        <v>1493</v>
      </c>
      <c r="L98" s="3" t="n">
        <v>5552</v>
      </c>
      <c r="M98" s="3" t="s">
        <v>908</v>
      </c>
    </row>
    <row r="99" customFormat="false" ht="34.5" hidden="false" customHeight="true" outlineLevel="0" collapsed="false">
      <c r="A99" s="7" t="n">
        <v>46323</v>
      </c>
      <c r="B99" s="3" t="n">
        <v>100</v>
      </c>
      <c r="C99" s="3" t="s">
        <v>1494</v>
      </c>
      <c r="D99" s="3" t="s">
        <v>29</v>
      </c>
      <c r="E99" s="3" t="s">
        <v>1336</v>
      </c>
      <c r="F99" s="3" t="s">
        <v>1495</v>
      </c>
      <c r="G99" s="3" t="s">
        <v>518</v>
      </c>
      <c r="H99" s="3" t="s">
        <v>1496</v>
      </c>
      <c r="I99" s="3" t="s">
        <v>1497</v>
      </c>
      <c r="J99" s="3" t="s">
        <v>1498</v>
      </c>
      <c r="K99" s="3" t="s">
        <v>1499</v>
      </c>
      <c r="L99" s="3" t="n">
        <v>5036</v>
      </c>
      <c r="M99" s="3" t="s">
        <v>908</v>
      </c>
    </row>
    <row r="100" customFormat="false" ht="34.5" hidden="false" customHeight="true" outlineLevel="0" collapsed="false">
      <c r="A100" s="7" t="n">
        <v>46323</v>
      </c>
      <c r="B100" s="3" t="n">
        <v>101</v>
      </c>
      <c r="C100" s="3" t="s">
        <v>1500</v>
      </c>
      <c r="D100" s="3" t="s">
        <v>179</v>
      </c>
      <c r="E100" s="3" t="s">
        <v>924</v>
      </c>
      <c r="F100" s="3" t="s">
        <v>1501</v>
      </c>
      <c r="G100" s="3" t="s">
        <v>938</v>
      </c>
      <c r="H100" s="3" t="s">
        <v>1502</v>
      </c>
      <c r="I100" s="3" t="s">
        <v>1503</v>
      </c>
      <c r="J100" s="3" t="s">
        <v>1504</v>
      </c>
      <c r="K100" s="3" t="s">
        <v>1505</v>
      </c>
      <c r="L100" s="3" t="n">
        <v>1515</v>
      </c>
      <c r="M100" s="3" t="s">
        <v>908</v>
      </c>
    </row>
    <row r="101" customFormat="false" ht="34.5" hidden="false" customHeight="true" outlineLevel="0" collapsed="false">
      <c r="A101" s="7" t="n">
        <v>46322</v>
      </c>
      <c r="B101" s="3" t="n">
        <v>7</v>
      </c>
      <c r="C101" s="3" t="s">
        <v>1506</v>
      </c>
      <c r="D101" s="3" t="s">
        <v>179</v>
      </c>
      <c r="E101" s="3" t="s">
        <v>1507</v>
      </c>
      <c r="F101" s="3" t="s">
        <v>1508</v>
      </c>
      <c r="G101" s="3" t="s">
        <v>21</v>
      </c>
      <c r="H101" s="3" t="s">
        <v>1509</v>
      </c>
      <c r="I101" s="3" t="s">
        <v>1510</v>
      </c>
      <c r="J101" s="3" t="s">
        <v>1511</v>
      </c>
      <c r="K101" s="3" t="s">
        <v>1512</v>
      </c>
      <c r="L101" s="3" t="n">
        <v>2465</v>
      </c>
      <c r="M101" s="3" t="s">
        <v>908</v>
      </c>
    </row>
    <row r="102" customFormat="false" ht="34.5" hidden="false" customHeight="true" outlineLevel="0" collapsed="false">
      <c r="A102" s="7" t="n">
        <v>46322</v>
      </c>
      <c r="B102" s="3" t="n">
        <v>8</v>
      </c>
      <c r="C102" s="3" t="s">
        <v>1513</v>
      </c>
      <c r="D102" s="3" t="s">
        <v>179</v>
      </c>
      <c r="E102" s="3" t="s">
        <v>1507</v>
      </c>
      <c r="F102" s="3" t="s">
        <v>1514</v>
      </c>
      <c r="G102" s="3" t="s">
        <v>21</v>
      </c>
      <c r="H102" s="3" t="s">
        <v>1515</v>
      </c>
      <c r="I102" s="3" t="s">
        <v>1516</v>
      </c>
      <c r="J102" s="3" t="s">
        <v>1517</v>
      </c>
      <c r="K102" s="3" t="s">
        <v>1518</v>
      </c>
      <c r="L102" s="3" t="n">
        <v>2135</v>
      </c>
      <c r="M102" s="3" t="s">
        <v>908</v>
      </c>
    </row>
  </sheetData>
  <dataValidations count="1">
    <dataValidation allowBlank="false" errorStyle="stop" operator="between" showDropDown="false" showErrorMessage="false" showInputMessage="false" sqref="M2:M102" type="list">
      <formula1>"Not started,In progress,Done"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8"/>
    <col collapsed="false" customWidth="true" hidden="false" outlineLevel="0" max="3" min="3" style="1" width="12"/>
    <col collapsed="false" customWidth="true" hidden="false" outlineLevel="0" max="4" min="4" style="1" width="58"/>
    <col collapsed="false" customWidth="true" hidden="false" outlineLevel="0" max="5" min="5" style="1" width="60"/>
  </cols>
  <sheetData>
    <row r="1" customFormat="false" ht="15" hidden="false" customHeight="true" outlineLevel="0" collapsed="false">
      <c r="A1" s="2" t="s">
        <v>1519</v>
      </c>
      <c r="B1" s="2" t="s">
        <v>1520</v>
      </c>
      <c r="C1" s="2" t="s">
        <v>1521</v>
      </c>
      <c r="D1" s="2" t="s">
        <v>1522</v>
      </c>
      <c r="E1" s="2" t="s">
        <v>1523</v>
      </c>
      <c r="F1" s="1" t="s">
        <v>18</v>
      </c>
    </row>
    <row r="2" customFormat="false" ht="15" hidden="false" customHeight="true" outlineLevel="0" collapsed="false">
      <c r="A2" s="3" t="n">
        <v>1</v>
      </c>
      <c r="B2" s="3" t="s">
        <v>1524</v>
      </c>
      <c r="C2" s="3" t="s">
        <v>1525</v>
      </c>
      <c r="D2" s="3" t="s">
        <v>901</v>
      </c>
      <c r="E2" s="3" t="s">
        <v>1526</v>
      </c>
      <c r="F2" s="1" t="s">
        <v>1527</v>
      </c>
    </row>
    <row r="3" customFormat="false" ht="15" hidden="false" customHeight="true" outlineLevel="0" collapsed="false">
      <c r="A3" s="3" t="n">
        <v>2</v>
      </c>
      <c r="B3" s="3" t="s">
        <v>1528</v>
      </c>
      <c r="C3" s="3" t="s">
        <v>1525</v>
      </c>
      <c r="D3" s="3" t="s">
        <v>909</v>
      </c>
      <c r="E3" s="3" t="s">
        <v>1526</v>
      </c>
      <c r="F3" s="1" t="s">
        <v>1527</v>
      </c>
    </row>
    <row r="4" customFormat="false" ht="15" hidden="false" customHeight="true" outlineLevel="0" collapsed="false">
      <c r="A4" s="3" t="n">
        <v>3</v>
      </c>
      <c r="B4" s="3" t="s">
        <v>1529</v>
      </c>
      <c r="C4" s="3" t="s">
        <v>1525</v>
      </c>
      <c r="D4" s="3" t="s">
        <v>916</v>
      </c>
      <c r="E4" s="3" t="s">
        <v>1526</v>
      </c>
      <c r="F4" s="1" t="s">
        <v>1527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80"/>
    <col collapsed="false" customWidth="true" hidden="false" outlineLevel="0" max="3" min="3" style="1" width="50"/>
    <col collapsed="false" customWidth="true" hidden="false" outlineLevel="0" max="4" min="4" style="1" width="14"/>
  </cols>
  <sheetData>
    <row r="1" customFormat="false" ht="23.25" hidden="false" customHeight="true" outlineLevel="0" collapsed="false">
      <c r="A1" s="2" t="s">
        <v>1530</v>
      </c>
      <c r="B1" s="2" t="s">
        <v>1531</v>
      </c>
      <c r="C1" s="2" t="s">
        <v>1532</v>
      </c>
      <c r="D1" s="2" t="s">
        <v>1533</v>
      </c>
    </row>
    <row r="2" customFormat="false" ht="23.25" hidden="false" customHeight="true" outlineLevel="0" collapsed="false">
      <c r="A2" s="3" t="s">
        <v>1534</v>
      </c>
      <c r="B2" s="3" t="s">
        <v>1535</v>
      </c>
      <c r="C2" s="3" t="s">
        <v>1536</v>
      </c>
      <c r="D2" s="3" t="n">
        <f aca="false">IF(C2="",0,LEN(C2)-LEN(SUBSTITUTE(C2,",",""))+1)</f>
        <v>7</v>
      </c>
    </row>
    <row r="3" customFormat="false" ht="15" hidden="false" customHeight="true" outlineLevel="0" collapsed="false">
      <c r="A3" s="3" t="s">
        <v>1537</v>
      </c>
      <c r="B3" s="3" t="s">
        <v>1538</v>
      </c>
      <c r="C3" s="3" t="s">
        <v>1539</v>
      </c>
      <c r="D3" s="3" t="n">
        <f aca="false">IF(C3="",0,LEN(C3)-LEN(SUBSTITUTE(C3,",",""))+1)</f>
        <v>2</v>
      </c>
    </row>
    <row r="4" customFormat="false" ht="15" hidden="false" customHeight="true" outlineLevel="0" collapsed="false">
      <c r="A4" s="3" t="s">
        <v>1540</v>
      </c>
      <c r="B4" s="3" t="s">
        <v>1541</v>
      </c>
      <c r="C4" s="3" t="s">
        <v>1542</v>
      </c>
      <c r="D4" s="3" t="n">
        <f aca="false">IF(C4="",0,LEN(C4)-LEN(SUBSTITUTE(C4,",",""))+1)</f>
        <v>4</v>
      </c>
    </row>
    <row r="5" customFormat="false" ht="34.5" hidden="false" customHeight="true" outlineLevel="0" collapsed="false">
      <c r="A5" s="3" t="s">
        <v>1543</v>
      </c>
      <c r="B5" s="3" t="s">
        <v>1544</v>
      </c>
      <c r="C5" s="3" t="s">
        <v>1545</v>
      </c>
      <c r="D5" s="3" t="n">
        <f aca="false">IF(C5="",0,LEN(C5)-LEN(SUBSTITUTE(C5,",",""))+1)</f>
        <v>28</v>
      </c>
    </row>
    <row r="6" customFormat="false" ht="34.5" hidden="false" customHeight="true" outlineLevel="0" collapsed="false">
      <c r="A6" s="3" t="s">
        <v>1546</v>
      </c>
      <c r="B6" s="3" t="s">
        <v>1547</v>
      </c>
      <c r="C6" s="3" t="s">
        <v>1548</v>
      </c>
      <c r="D6" s="3" t="n">
        <f aca="false">IF(C6="",0,LEN(C6)-LEN(SUBSTITUTE(C6,",",""))+1)</f>
        <v>28</v>
      </c>
    </row>
    <row r="7" customFormat="false" ht="23.25" hidden="false" customHeight="true" outlineLevel="0" collapsed="false">
      <c r="A7" s="3" t="s">
        <v>1549</v>
      </c>
      <c r="B7" s="3" t="s">
        <v>1550</v>
      </c>
      <c r="C7" s="3" t="s">
        <v>1551</v>
      </c>
      <c r="D7" s="3" t="n">
        <f aca="false">IF(C7="",0,LEN(C7)-LEN(SUBSTITUTE(C7,",",""))+1)</f>
        <v>19</v>
      </c>
    </row>
    <row r="8" customFormat="false" ht="15" hidden="false" customHeight="true" outlineLevel="0" collapsed="false">
      <c r="A8" s="3" t="s">
        <v>1552</v>
      </c>
      <c r="B8" s="3" t="s">
        <v>1553</v>
      </c>
      <c r="C8" s="3" t="s">
        <v>1554</v>
      </c>
      <c r="D8" s="3" t="n">
        <f aca="false">IF(C8="",0,LEN(C8)-LEN(SUBSTITUTE(C8,",",""))+1)</f>
        <v>9</v>
      </c>
    </row>
    <row r="9" customFormat="false" ht="15" hidden="false" customHeight="true" outlineLevel="0" collapsed="false">
      <c r="A9" s="3" t="s">
        <v>1555</v>
      </c>
      <c r="B9" s="3" t="s">
        <v>1556</v>
      </c>
      <c r="C9" s="3" t="s">
        <v>1557</v>
      </c>
      <c r="D9" s="3" t="n">
        <f aca="false">IF(C9="",0,LEN(C9)-LEN(SUBSTITUTE(C9,",",""))+1)</f>
        <v>3</v>
      </c>
    </row>
    <row r="10" customFormat="false" ht="15" hidden="false" customHeight="true" outlineLevel="0" collapsed="false">
      <c r="A10" s="3" t="s">
        <v>1558</v>
      </c>
      <c r="B10" s="3" t="s">
        <v>1559</v>
      </c>
      <c r="C10" s="3" t="s">
        <v>1560</v>
      </c>
      <c r="D10" s="3" t="n">
        <f aca="false">IF(C10="",0,LEN(C10)-LEN(SUBSTITUTE(C10,",",""))+1)</f>
        <v>1</v>
      </c>
    </row>
    <row r="11" customFormat="false" ht="15" hidden="false" customHeight="true" outlineLevel="0" collapsed="false">
      <c r="A11" s="3" t="s">
        <v>1561</v>
      </c>
      <c r="B11" s="3" t="s">
        <v>1562</v>
      </c>
      <c r="C11" s="3" t="s">
        <v>1563</v>
      </c>
      <c r="D11" s="3" t="n">
        <f aca="false">IF(C11="",0,LEN(C11)-LEN(SUBSTITUTE(C11,",",""))+1)</f>
        <v>7</v>
      </c>
    </row>
    <row r="12" customFormat="false" ht="15" hidden="false" customHeight="true" outlineLevel="0" collapsed="false">
      <c r="A12" s="3" t="s">
        <v>1564</v>
      </c>
      <c r="B12" s="3" t="s">
        <v>1565</v>
      </c>
      <c r="C12" s="3" t="s">
        <v>1566</v>
      </c>
      <c r="D12" s="3" t="n">
        <f aca="false">IF(C12="",0,LEN(C12)-LEN(SUBSTITUTE(C12,",",""))+1)</f>
        <v>6</v>
      </c>
    </row>
    <row r="13" customFormat="false" ht="15" hidden="false" customHeight="true" outlineLevel="0" collapsed="false">
      <c r="A13" s="3" t="s">
        <v>1567</v>
      </c>
      <c r="B13" s="3" t="s">
        <v>1568</v>
      </c>
      <c r="C13" s="3" t="s">
        <v>1569</v>
      </c>
      <c r="D13" s="3" t="n">
        <f aca="false">IF(C13="",0,LEN(C13)-LEN(SUBSTITUTE(C13,",",""))+1)</f>
        <v>4</v>
      </c>
    </row>
    <row r="14" customFormat="false" ht="15" hidden="false" customHeight="true" outlineLevel="0" collapsed="false">
      <c r="A14" s="3" t="s">
        <v>1570</v>
      </c>
      <c r="B14" s="3" t="s">
        <v>1571</v>
      </c>
      <c r="C14" s="3" t="s">
        <v>1572</v>
      </c>
      <c r="D14" s="3" t="n">
        <f aca="false">IF(C14="",0,LEN(C14)-LEN(SUBSTITUTE(C14,",",""))+1)</f>
        <v>4</v>
      </c>
    </row>
    <row r="15" customFormat="false" ht="15" hidden="false" customHeight="true" outlineLevel="0" collapsed="false">
      <c r="A15" s="3" t="s">
        <v>1573</v>
      </c>
      <c r="B15" s="3" t="s">
        <v>1574</v>
      </c>
      <c r="C15" s="3"/>
      <c r="D15" s="3" t="n">
        <f aca="false">IF(C15="",0,LEN(C15)-LEN(SUBSTITUTE(C15,",",""))+1)</f>
        <v>0</v>
      </c>
    </row>
    <row r="16" customFormat="false" ht="15" hidden="false" customHeight="true" outlineLevel="0" collapsed="false">
      <c r="A16" s="3" t="s">
        <v>1575</v>
      </c>
      <c r="B16" s="3" t="s">
        <v>1576</v>
      </c>
      <c r="C16" s="3" t="s">
        <v>1577</v>
      </c>
      <c r="D16" s="3" t="n">
        <f aca="false">IF(C16="",0,LEN(C16)-LEN(SUBSTITUTE(C16,",",""))+1)</f>
        <v>1</v>
      </c>
    </row>
    <row r="17" customFormat="false" ht="15" hidden="false" customHeight="true" outlineLevel="0" collapsed="false">
      <c r="A17" s="3" t="s">
        <v>1578</v>
      </c>
      <c r="B17" s="3" t="s">
        <v>1579</v>
      </c>
      <c r="C17" s="3" t="s">
        <v>1580</v>
      </c>
      <c r="D17" s="3" t="n">
        <f aca="false">IF(C17="",0,LEN(C17)-LEN(SUBSTITUTE(C17,",",""))+1)</f>
        <v>2</v>
      </c>
    </row>
    <row r="18" customFormat="false" ht="15" hidden="false" customHeight="true" outlineLevel="0" collapsed="false">
      <c r="A18" s="3" t="s">
        <v>1581</v>
      </c>
      <c r="B18" s="3" t="s">
        <v>1582</v>
      </c>
      <c r="C18" s="3" t="s">
        <v>1583</v>
      </c>
      <c r="D18" s="3" t="n">
        <f aca="false">IF(C18="",0,LEN(C18)-LEN(SUBSTITUTE(C18,",",""))+1)</f>
        <v>11</v>
      </c>
    </row>
    <row r="19" customFormat="false" ht="15" hidden="false" customHeight="true" outlineLevel="0" collapsed="false">
      <c r="A19" s="3" t="s">
        <v>1584</v>
      </c>
      <c r="B19" s="3" t="s">
        <v>1585</v>
      </c>
      <c r="C19" s="3" t="s">
        <v>1586</v>
      </c>
      <c r="D19" s="3" t="n">
        <f aca="false">IF(C19="",0,LEN(C19)-LEN(SUBSTITUTE(C19,",",""))+1)</f>
        <v>3</v>
      </c>
    </row>
    <row r="20" customFormat="false" ht="15" hidden="false" customHeight="true" outlineLevel="0" collapsed="false">
      <c r="A20" s="3" t="s">
        <v>1587</v>
      </c>
      <c r="B20" s="3" t="s">
        <v>1588</v>
      </c>
      <c r="C20" s="3" t="s">
        <v>1589</v>
      </c>
      <c r="D20" s="3" t="n">
        <f aca="false">IF(C20="",0,LEN(C20)-LEN(SUBSTITUTE(C20,",",""))+1)</f>
        <v>3</v>
      </c>
    </row>
    <row r="21" customFormat="false" ht="15" hidden="false" customHeight="true" outlineLevel="0" collapsed="false">
      <c r="A21" s="3" t="s">
        <v>1590</v>
      </c>
      <c r="B21" s="3" t="s">
        <v>1591</v>
      </c>
      <c r="C21" s="3" t="s">
        <v>1592</v>
      </c>
      <c r="D21" s="3" t="n">
        <f aca="false">IF(C21="",0,LEN(C21)-LEN(SUBSTITUTE(C21,",",""))+1)</f>
        <v>2</v>
      </c>
    </row>
    <row r="22" customFormat="false" ht="15" hidden="false" customHeight="true" outlineLevel="0" collapsed="false">
      <c r="A22" s="3" t="s">
        <v>1593</v>
      </c>
      <c r="B22" s="3" t="s">
        <v>1594</v>
      </c>
      <c r="C22" s="3" t="s">
        <v>1595</v>
      </c>
      <c r="D22" s="3" t="n">
        <f aca="false">IF(C22="",0,LEN(C22)-LEN(SUBSTITUTE(C22,",",""))+1)</f>
        <v>5</v>
      </c>
    </row>
    <row r="23" customFormat="false" ht="15" hidden="false" customHeight="true" outlineLevel="0" collapsed="false">
      <c r="A23" s="3" t="s">
        <v>1596</v>
      </c>
      <c r="B23" s="3" t="s">
        <v>1597</v>
      </c>
      <c r="C23" s="3" t="s">
        <v>1598</v>
      </c>
      <c r="D23" s="3" t="n">
        <f aca="false">IF(C23="",0,LEN(C23)-LEN(SUBSTITUTE(C23,",",""))+1)</f>
        <v>7</v>
      </c>
    </row>
    <row r="24" customFormat="false" ht="15" hidden="false" customHeight="true" outlineLevel="0" collapsed="false">
      <c r="A24" s="3" t="s">
        <v>1599</v>
      </c>
      <c r="B24" s="3" t="s">
        <v>1600</v>
      </c>
      <c r="C24" s="3" t="s">
        <v>1601</v>
      </c>
      <c r="D24" s="3" t="n">
        <f aca="false">IF(C24="",0,LEN(C24)-LEN(SUBSTITUTE(C24,",",""))+1)</f>
        <v>6</v>
      </c>
    </row>
    <row r="25" customFormat="false" ht="15" hidden="false" customHeight="true" outlineLevel="0" collapsed="false">
      <c r="A25" s="3" t="s">
        <v>1602</v>
      </c>
      <c r="B25" s="3" t="s">
        <v>1603</v>
      </c>
      <c r="C25" s="3" t="s">
        <v>1604</v>
      </c>
      <c r="D25" s="3" t="n">
        <f aca="false">IF(C25="",0,LEN(C25)-LEN(SUBSTITUTE(C25,",",""))+1)</f>
        <v>1</v>
      </c>
    </row>
    <row r="26" customFormat="false" ht="15" hidden="false" customHeight="true" outlineLevel="0" collapsed="false">
      <c r="A26" s="3" t="s">
        <v>1605</v>
      </c>
      <c r="B26" s="3" t="s">
        <v>1606</v>
      </c>
      <c r="C26" s="3" t="s">
        <v>1604</v>
      </c>
      <c r="D26" s="3" t="n">
        <f aca="false">IF(C26="",0,LEN(C26)-LEN(SUBSTITUTE(C26,",",""))+1)</f>
        <v>1</v>
      </c>
    </row>
    <row r="27" customFormat="false" ht="15" hidden="false" customHeight="true" outlineLevel="0" collapsed="false">
      <c r="A27" s="3" t="s">
        <v>1607</v>
      </c>
      <c r="B27" s="3" t="s">
        <v>1608</v>
      </c>
      <c r="C27" s="3" t="s">
        <v>1609</v>
      </c>
      <c r="D27" s="3" t="n">
        <f aca="false">IF(C27="",0,LEN(C27)-LEN(SUBSTITUTE(C27,",",""))+1)</f>
        <v>3</v>
      </c>
    </row>
    <row r="28" customFormat="false" ht="15" hidden="false" customHeight="true" outlineLevel="0" collapsed="false">
      <c r="A28" s="3" t="s">
        <v>1610</v>
      </c>
      <c r="B28" s="3" t="s">
        <v>1611</v>
      </c>
      <c r="C28" s="3"/>
      <c r="D28" s="3" t="n">
        <f aca="false">IF(C28="",0,LEN(C28)-LEN(SUBSTITUTE(C28,",",""))+1)</f>
        <v>0</v>
      </c>
    </row>
    <row r="29" customFormat="false" ht="15" hidden="false" customHeight="true" outlineLevel="0" collapsed="false">
      <c r="A29" s="3" t="s">
        <v>1612</v>
      </c>
      <c r="B29" s="3" t="s">
        <v>1613</v>
      </c>
      <c r="C29" s="3" t="s">
        <v>1614</v>
      </c>
      <c r="D29" s="3" t="n">
        <f aca="false">IF(C29="",0,LEN(C29)-LEN(SUBSTITUTE(C29,",",""))+1)</f>
        <v>4</v>
      </c>
    </row>
    <row r="30" customFormat="false" ht="15" hidden="false" customHeight="true" outlineLevel="0" collapsed="false">
      <c r="A30" s="3" t="s">
        <v>1615</v>
      </c>
      <c r="B30" s="3" t="s">
        <v>1616</v>
      </c>
      <c r="C30" s="3" t="s">
        <v>1617</v>
      </c>
      <c r="D30" s="3" t="n">
        <f aca="false">IF(C30="",0,LEN(C30)-LEN(SUBSTITUTE(C30,",",""))+1)</f>
        <v>5</v>
      </c>
    </row>
    <row r="31" customFormat="false" ht="15" hidden="false" customHeight="true" outlineLevel="0" collapsed="false">
      <c r="A31" s="3" t="s">
        <v>1618</v>
      </c>
      <c r="B31" s="3" t="s">
        <v>1619</v>
      </c>
      <c r="C31" s="3"/>
      <c r="D31" s="3" t="n">
        <f aca="false">IF(C31="",0,LEN(C31)-LEN(SUBSTITUTE(C31,",",""))+1)</f>
        <v>0</v>
      </c>
    </row>
    <row r="32" customFormat="false" ht="15" hidden="false" customHeight="true" outlineLevel="0" collapsed="false">
      <c r="A32" s="3" t="s">
        <v>1620</v>
      </c>
      <c r="B32" s="3" t="s">
        <v>1621</v>
      </c>
      <c r="C32" s="3" t="s">
        <v>1622</v>
      </c>
      <c r="D32" s="3" t="n">
        <f aca="false">IF(C32="",0,LEN(C32)-LEN(SUBSTITUTE(C32,",",""))+1)</f>
        <v>6</v>
      </c>
    </row>
    <row r="33" customFormat="false" ht="23.25" hidden="false" customHeight="true" outlineLevel="0" collapsed="false">
      <c r="A33" s="3" t="s">
        <v>642</v>
      </c>
      <c r="B33" s="3" t="s">
        <v>1623</v>
      </c>
      <c r="C33" s="3" t="s">
        <v>1624</v>
      </c>
      <c r="D33" s="3" t="n">
        <f aca="false">IF(C33="",0,LEN(C33)-LEN(SUBSTITUTE(C33,",",""))+1)</f>
        <v>15</v>
      </c>
    </row>
    <row r="34" customFormat="false" ht="15" hidden="false" customHeight="true" outlineLevel="0" collapsed="false">
      <c r="A34" s="3" t="s">
        <v>1625</v>
      </c>
      <c r="B34" s="3" t="s">
        <v>1626</v>
      </c>
      <c r="C34" s="3" t="s">
        <v>1627</v>
      </c>
      <c r="D34" s="3" t="n">
        <f aca="false">IF(C34="",0,LEN(C34)-LEN(SUBSTITUTE(C34,",",""))+1)</f>
        <v>7</v>
      </c>
    </row>
    <row r="35" customFormat="false" ht="15" hidden="false" customHeight="true" outlineLevel="0" collapsed="false">
      <c r="A35" s="3" t="s">
        <v>1628</v>
      </c>
      <c r="B35" s="3" t="s">
        <v>1629</v>
      </c>
      <c r="C35" s="3" t="s">
        <v>1630</v>
      </c>
      <c r="D35" s="3" t="n">
        <f aca="false">IF(C35="",0,LEN(C35)-LEN(SUBSTITUTE(C35,",",""))+1)</f>
        <v>4</v>
      </c>
    </row>
    <row r="36" customFormat="false" ht="15" hidden="false" customHeight="true" outlineLevel="0" collapsed="false">
      <c r="A36" s="3" t="s">
        <v>1631</v>
      </c>
      <c r="B36" s="3" t="s">
        <v>1632</v>
      </c>
      <c r="C36" s="3"/>
      <c r="D36" s="3" t="n">
        <f aca="false">IF(C36="",0,LEN(C36)-LEN(SUBSTITUTE(C36,",",""))+1)</f>
        <v>0</v>
      </c>
    </row>
    <row r="37" customFormat="false" ht="15" hidden="false" customHeight="true" outlineLevel="0" collapsed="false">
      <c r="A37" s="3" t="s">
        <v>1633</v>
      </c>
      <c r="B37" s="3" t="s">
        <v>1634</v>
      </c>
      <c r="C37" s="3" t="s">
        <v>1635</v>
      </c>
      <c r="D37" s="3" t="n">
        <f aca="false">IF(C37="",0,LEN(C37)-LEN(SUBSTITUTE(C37,",",""))+1)</f>
        <v>5</v>
      </c>
    </row>
    <row r="38" customFormat="false" ht="15" hidden="false" customHeight="true" outlineLevel="0" collapsed="false">
      <c r="A38" s="3" t="s">
        <v>1636</v>
      </c>
      <c r="B38" s="3" t="s">
        <v>1637</v>
      </c>
      <c r="C38" s="3" t="s">
        <v>1638</v>
      </c>
      <c r="D38" s="3" t="n">
        <f aca="false">IF(C38="",0,LEN(C38)-LEN(SUBSTITUTE(C38,",",""))+1)</f>
        <v>2</v>
      </c>
    </row>
    <row r="39" customFormat="false" ht="15" hidden="false" customHeight="true" outlineLevel="0" collapsed="false">
      <c r="A39" s="3" t="s">
        <v>1639</v>
      </c>
      <c r="B39" s="3" t="s">
        <v>1640</v>
      </c>
      <c r="C39" s="3" t="s">
        <v>1641</v>
      </c>
      <c r="D39" s="3" t="n">
        <f aca="false">IF(C39="",0,LEN(C39)-LEN(SUBSTITUTE(C39,",",""))+1)</f>
        <v>8</v>
      </c>
    </row>
    <row r="40" customFormat="false" ht="15" hidden="false" customHeight="true" outlineLevel="0" collapsed="false">
      <c r="A40" s="3" t="s">
        <v>1642</v>
      </c>
      <c r="B40" s="3" t="s">
        <v>1643</v>
      </c>
      <c r="C40" s="3" t="s">
        <v>1644</v>
      </c>
      <c r="D40" s="3" t="n">
        <f aca="false">IF(C40="",0,LEN(C40)-LEN(SUBSTITUTE(C40,",",""))+1)</f>
        <v>3</v>
      </c>
    </row>
    <row r="41" customFormat="false" ht="15" hidden="false" customHeight="true" outlineLevel="0" collapsed="false">
      <c r="A41" s="3" t="s">
        <v>1645</v>
      </c>
      <c r="B41" s="3" t="s">
        <v>1646</v>
      </c>
      <c r="C41" s="3" t="s">
        <v>1647</v>
      </c>
      <c r="D41" s="3" t="n">
        <f aca="false">IF(C41="",0,LEN(C41)-LEN(SUBSTITUTE(C41,",",""))+1)</f>
        <v>1</v>
      </c>
    </row>
    <row r="42" customFormat="false" ht="45.75" hidden="false" customHeight="true" outlineLevel="0" collapsed="false">
      <c r="A42" s="3" t="s">
        <v>1648</v>
      </c>
      <c r="B42" s="3" t="s">
        <v>1649</v>
      </c>
      <c r="C42" s="3" t="s">
        <v>1650</v>
      </c>
      <c r="D42" s="3" t="n">
        <f aca="false">IF(C42="",0,LEN(C42)-LEN(SUBSTITUTE(C42,",",""))+1)</f>
        <v>46</v>
      </c>
    </row>
    <row r="43" customFormat="false" ht="15" hidden="false" customHeight="true" outlineLevel="0" collapsed="false">
      <c r="A43" s="3" t="s">
        <v>1651</v>
      </c>
      <c r="B43" s="3" t="s">
        <v>1652</v>
      </c>
      <c r="C43" s="3" t="s">
        <v>1653</v>
      </c>
      <c r="D43" s="3" t="n">
        <f aca="false">IF(C43="",0,LEN(C43)-LEN(SUBSTITUTE(C43,",",""))+1)</f>
        <v>1</v>
      </c>
    </row>
    <row r="44" customFormat="false" ht="15" hidden="false" customHeight="true" outlineLevel="0" collapsed="false">
      <c r="A44" s="3" t="s">
        <v>1654</v>
      </c>
      <c r="B44" s="3" t="s">
        <v>1655</v>
      </c>
      <c r="C44" s="3"/>
      <c r="D44" s="3" t="n">
        <f aca="false">IF(C44="",0,LEN(C44)-LEN(SUBSTITUTE(C44,",",""))+1)</f>
        <v>0</v>
      </c>
    </row>
    <row r="45" customFormat="false" ht="23.25" hidden="false" customHeight="true" outlineLevel="0" collapsed="false">
      <c r="A45" s="3" t="s">
        <v>1656</v>
      </c>
      <c r="B45" s="3" t="s">
        <v>1657</v>
      </c>
      <c r="C45" s="3" t="s">
        <v>1658</v>
      </c>
      <c r="D45" s="3" t="n">
        <f aca="false">IF(C45="",0,LEN(C45)-LEN(SUBSTITUTE(C45,",",""))+1)</f>
        <v>21</v>
      </c>
    </row>
    <row r="46" customFormat="false" ht="15" hidden="false" customHeight="true" outlineLevel="0" collapsed="false">
      <c r="A46" s="3" t="s">
        <v>1659</v>
      </c>
      <c r="B46" s="3" t="s">
        <v>1660</v>
      </c>
      <c r="C46" s="3" t="s">
        <v>1661</v>
      </c>
      <c r="D46" s="3" t="n">
        <f aca="false">IF(C46="",0,LEN(C46)-LEN(SUBSTITUTE(C46,",",""))+1)</f>
        <v>2</v>
      </c>
    </row>
    <row r="47" customFormat="false" ht="15" hidden="false" customHeight="true" outlineLevel="0" collapsed="false">
      <c r="A47" s="3" t="s">
        <v>1662</v>
      </c>
      <c r="B47" s="3" t="s">
        <v>1663</v>
      </c>
      <c r="C47" s="3" t="s">
        <v>1664</v>
      </c>
      <c r="D47" s="3" t="n">
        <f aca="false">IF(C47="",0,LEN(C47)-LEN(SUBSTITUTE(C47,",",""))+1)</f>
        <v>1</v>
      </c>
    </row>
    <row r="48" customFormat="false" ht="15" hidden="false" customHeight="true" outlineLevel="0" collapsed="false">
      <c r="A48" s="3" t="s">
        <v>1665</v>
      </c>
      <c r="B48" s="3" t="s">
        <v>1666</v>
      </c>
      <c r="C48" s="3" t="s">
        <v>1667</v>
      </c>
      <c r="D48" s="3" t="n">
        <f aca="false">IF(C48="",0,LEN(C48)-LEN(SUBSTITUTE(C48,",",""))+1)</f>
        <v>3</v>
      </c>
    </row>
    <row r="49" customFormat="false" ht="15" hidden="false" customHeight="true" outlineLevel="0" collapsed="false">
      <c r="A49" s="3" t="s">
        <v>1668</v>
      </c>
      <c r="B49" s="3" t="s">
        <v>1669</v>
      </c>
      <c r="C49" s="3" t="s">
        <v>1670</v>
      </c>
      <c r="D49" s="3" t="n">
        <f aca="false">IF(C49="",0,LEN(C49)-LEN(SUBSTITUTE(C49,",",""))+1)</f>
        <v>11</v>
      </c>
    </row>
    <row r="50" customFormat="false" ht="15" hidden="false" customHeight="true" outlineLevel="0" collapsed="false">
      <c r="A50" s="3" t="s">
        <v>1671</v>
      </c>
      <c r="B50" s="3" t="s">
        <v>1672</v>
      </c>
      <c r="C50" s="3" t="s">
        <v>1673</v>
      </c>
      <c r="D50" s="3" t="n">
        <f aca="false">IF(C50="",0,LEN(C50)-LEN(SUBSTITUTE(C50,",",""))+1)</f>
        <v>1</v>
      </c>
    </row>
    <row r="51" customFormat="false" ht="15" hidden="false" customHeight="true" outlineLevel="0" collapsed="false">
      <c r="A51" s="3" t="s">
        <v>1674</v>
      </c>
      <c r="B51" s="3" t="s">
        <v>1675</v>
      </c>
      <c r="C51" s="3" t="s">
        <v>1676</v>
      </c>
      <c r="D51" s="3" t="n">
        <f aca="false">IF(C51="",0,LEN(C51)-LEN(SUBSTITUTE(C51,",",""))+1)</f>
        <v>3</v>
      </c>
    </row>
    <row r="52" customFormat="false" ht="15" hidden="false" customHeight="true" outlineLevel="0" collapsed="false">
      <c r="A52" s="3" t="s">
        <v>1677</v>
      </c>
      <c r="B52" s="3" t="s">
        <v>1678</v>
      </c>
      <c r="C52" s="3" t="s">
        <v>1679</v>
      </c>
      <c r="D52" s="3" t="n">
        <f aca="false">IF(C52="",0,LEN(C52)-LEN(SUBSTITUTE(C52,",",""))+1)</f>
        <v>2</v>
      </c>
    </row>
    <row r="53" customFormat="false" ht="15" hidden="false" customHeight="true" outlineLevel="0" collapsed="false">
      <c r="A53" s="3" t="s">
        <v>1680</v>
      </c>
      <c r="B53" s="3" t="s">
        <v>1681</v>
      </c>
      <c r="C53" s="3" t="s">
        <v>1682</v>
      </c>
      <c r="D53" s="3" t="n">
        <f aca="false">IF(C53="",0,LEN(C53)-LEN(SUBSTITUTE(C53,",",""))+1)</f>
        <v>2</v>
      </c>
    </row>
    <row r="54" customFormat="false" ht="15" hidden="false" customHeight="true" outlineLevel="0" collapsed="false">
      <c r="A54" s="3" t="s">
        <v>1683</v>
      </c>
      <c r="B54" s="3" t="s">
        <v>1684</v>
      </c>
      <c r="C54" s="3" t="s">
        <v>1685</v>
      </c>
      <c r="D54" s="3" t="n">
        <f aca="false">IF(C54="",0,LEN(C54)-LEN(SUBSTITUTE(C54,",",""))+1)</f>
        <v>2</v>
      </c>
    </row>
    <row r="55" customFormat="false" ht="15" hidden="false" customHeight="true" outlineLevel="0" collapsed="false">
      <c r="A55" s="3" t="s">
        <v>1686</v>
      </c>
      <c r="B55" s="3" t="s">
        <v>1687</v>
      </c>
      <c r="C55" s="3" t="s">
        <v>1688</v>
      </c>
      <c r="D55" s="3" t="n">
        <f aca="false">IF(C55="",0,LEN(C55)-LEN(SUBSTITUTE(C55,",",""))+1)</f>
        <v>1</v>
      </c>
    </row>
    <row r="56" customFormat="false" ht="15" hidden="false" customHeight="true" outlineLevel="0" collapsed="false">
      <c r="A56" s="3" t="s">
        <v>1689</v>
      </c>
      <c r="B56" s="3" t="s">
        <v>1690</v>
      </c>
      <c r="C56" s="3" t="s">
        <v>1691</v>
      </c>
      <c r="D56" s="3" t="n">
        <f aca="false">IF(C56="",0,LEN(C56)-LEN(SUBSTITUTE(C56,",",""))+1)</f>
        <v>4</v>
      </c>
    </row>
    <row r="57" customFormat="false" ht="15" hidden="false" customHeight="true" outlineLevel="0" collapsed="false">
      <c r="A57" s="3" t="s">
        <v>1692</v>
      </c>
      <c r="B57" s="3" t="s">
        <v>1693</v>
      </c>
      <c r="C57" s="3" t="s">
        <v>1694</v>
      </c>
      <c r="D57" s="3" t="n">
        <f aca="false">IF(C57="",0,LEN(C57)-LEN(SUBSTITUTE(C57,",",""))+1)</f>
        <v>3</v>
      </c>
    </row>
    <row r="58" customFormat="false" ht="15" hidden="false" customHeight="true" outlineLevel="0" collapsed="false">
      <c r="A58" s="3" t="s">
        <v>1695</v>
      </c>
      <c r="B58" s="3" t="s">
        <v>1696</v>
      </c>
      <c r="C58" s="3" t="s">
        <v>1697</v>
      </c>
      <c r="D58" s="3" t="n">
        <f aca="false">IF(C58="",0,LEN(C58)-LEN(SUBSTITUTE(C58,",",""))+1)</f>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80"/>
    <col collapsed="false" customWidth="true" hidden="false" outlineLevel="0" max="3" min="3" style="1" width="12"/>
    <col collapsed="false" customWidth="true" hidden="false" outlineLevel="0" max="4" min="4" style="1" width="60"/>
    <col collapsed="false" customWidth="true" hidden="false" outlineLevel="0" max="5" min="5" style="1" width="10"/>
  </cols>
  <sheetData>
    <row r="1" customFormat="false" ht="15" hidden="false" customHeight="true" outlineLevel="0" collapsed="false">
      <c r="A1" s="2" t="s">
        <v>1698</v>
      </c>
      <c r="B1" s="2" t="s">
        <v>1699</v>
      </c>
      <c r="C1" s="2" t="s">
        <v>1700</v>
      </c>
      <c r="D1" s="2" t="s">
        <v>1701</v>
      </c>
      <c r="E1" s="2" t="s">
        <v>18</v>
      </c>
    </row>
    <row r="2" customFormat="false" ht="23.25" hidden="false" customHeight="true" outlineLevel="0" collapsed="false">
      <c r="A2" s="3" t="n">
        <v>1</v>
      </c>
      <c r="B2" s="3" t="s">
        <v>1702</v>
      </c>
      <c r="C2" s="3" t="s">
        <v>1703</v>
      </c>
      <c r="D2" s="3" t="s">
        <v>1704</v>
      </c>
      <c r="E2" s="3" t="s">
        <v>1705</v>
      </c>
    </row>
    <row r="3" customFormat="false" ht="23.25" hidden="false" customHeight="true" outlineLevel="0" collapsed="false">
      <c r="A3" s="3" t="n">
        <v>2</v>
      </c>
      <c r="B3" s="3" t="s">
        <v>1706</v>
      </c>
      <c r="C3" s="3" t="s">
        <v>1703</v>
      </c>
      <c r="D3" s="3" t="s">
        <v>1707</v>
      </c>
      <c r="E3" s="3" t="s">
        <v>1705</v>
      </c>
    </row>
    <row r="4" customFormat="false" ht="34.5" hidden="false" customHeight="true" outlineLevel="0" collapsed="false">
      <c r="A4" s="3" t="n">
        <v>3</v>
      </c>
      <c r="B4" s="3" t="s">
        <v>1708</v>
      </c>
      <c r="C4" s="3" t="s">
        <v>1709</v>
      </c>
      <c r="D4" s="3" t="s">
        <v>1710</v>
      </c>
      <c r="E4" s="3" t="s">
        <v>1705</v>
      </c>
    </row>
    <row r="5" customFormat="false" ht="23.25" hidden="false" customHeight="true" outlineLevel="0" collapsed="false">
      <c r="A5" s="3" t="n">
        <v>4</v>
      </c>
      <c r="B5" s="3" t="s">
        <v>1711</v>
      </c>
      <c r="C5" s="3" t="s">
        <v>1709</v>
      </c>
      <c r="D5" s="3" t="s">
        <v>1712</v>
      </c>
      <c r="E5" s="3" t="s">
        <v>1705</v>
      </c>
    </row>
    <row r="6" customFormat="false" ht="34.5" hidden="false" customHeight="true" outlineLevel="0" collapsed="false">
      <c r="A6" s="3" t="n">
        <v>5</v>
      </c>
      <c r="B6" s="3" t="s">
        <v>1713</v>
      </c>
      <c r="C6" s="3" t="s">
        <v>1703</v>
      </c>
      <c r="D6" s="3" t="s">
        <v>1714</v>
      </c>
      <c r="E6" s="3" t="s">
        <v>1705</v>
      </c>
    </row>
    <row r="7" customFormat="false" ht="23.25" hidden="false" customHeight="true" outlineLevel="0" collapsed="false">
      <c r="A7" s="3" t="n">
        <v>6</v>
      </c>
      <c r="B7" s="3" t="s">
        <v>1715</v>
      </c>
      <c r="C7" s="3" t="s">
        <v>1703</v>
      </c>
      <c r="D7" s="3" t="s">
        <v>1716</v>
      </c>
      <c r="E7" s="3" t="s">
        <v>1705</v>
      </c>
    </row>
    <row r="8" customFormat="false" ht="23.25" hidden="false" customHeight="true" outlineLevel="0" collapsed="false">
      <c r="A8" s="3" t="n">
        <v>7</v>
      </c>
      <c r="B8" s="3" t="s">
        <v>1717</v>
      </c>
      <c r="C8" s="3" t="s">
        <v>1709</v>
      </c>
      <c r="D8" s="3" t="s">
        <v>1718</v>
      </c>
      <c r="E8" s="3" t="s">
        <v>1705</v>
      </c>
    </row>
    <row r="9" customFormat="false" ht="34.5" hidden="false" customHeight="true" outlineLevel="0" collapsed="false">
      <c r="A9" s="3" t="n">
        <v>8</v>
      </c>
      <c r="B9" s="3" t="s">
        <v>1719</v>
      </c>
      <c r="C9" s="3" t="s">
        <v>1703</v>
      </c>
      <c r="D9" s="3" t="s">
        <v>1720</v>
      </c>
      <c r="E9" s="3" t="s">
        <v>1705</v>
      </c>
    </row>
    <row r="10" customFormat="false" ht="23.25" hidden="false" customHeight="true" outlineLevel="0" collapsed="false">
      <c r="A10" s="3" t="n">
        <v>9</v>
      </c>
      <c r="B10" s="3" t="s">
        <v>1721</v>
      </c>
      <c r="C10" s="3" t="s">
        <v>1709</v>
      </c>
      <c r="D10" s="3" t="s">
        <v>1722</v>
      </c>
      <c r="E10" s="3" t="s">
        <v>1705</v>
      </c>
    </row>
    <row r="11" customFormat="false" ht="34.5" hidden="false" customHeight="true" outlineLevel="0" collapsed="false">
      <c r="A11" s="3" t="n">
        <v>10</v>
      </c>
      <c r="B11" s="3" t="s">
        <v>1723</v>
      </c>
      <c r="C11" s="3" t="s">
        <v>1709</v>
      </c>
      <c r="D11" s="3" t="s">
        <v>1724</v>
      </c>
      <c r="E11" s="3" t="s">
        <v>1705</v>
      </c>
    </row>
    <row r="12" customFormat="false" ht="23.25" hidden="false" customHeight="true" outlineLevel="0" collapsed="false">
      <c r="A12" s="3" t="n">
        <v>11</v>
      </c>
      <c r="B12" s="3" t="s">
        <v>1725</v>
      </c>
      <c r="C12" s="3" t="s">
        <v>1703</v>
      </c>
      <c r="D12" s="3" t="s">
        <v>1726</v>
      </c>
      <c r="E12" s="3" t="s">
        <v>1705</v>
      </c>
    </row>
    <row r="13" customFormat="false" ht="23.25" hidden="false" customHeight="true" outlineLevel="0" collapsed="false">
      <c r="A13" s="3" t="n">
        <v>12</v>
      </c>
      <c r="B13" s="3" t="s">
        <v>1727</v>
      </c>
      <c r="C13" s="3" t="s">
        <v>1703</v>
      </c>
      <c r="D13" s="3" t="s">
        <v>1728</v>
      </c>
      <c r="E13" s="3" t="s">
        <v>1705</v>
      </c>
    </row>
    <row r="14" customFormat="false" ht="23.25" hidden="false" customHeight="true" outlineLevel="0" collapsed="false">
      <c r="A14" s="3" t="n">
        <v>13</v>
      </c>
      <c r="B14" s="3" t="s">
        <v>1729</v>
      </c>
      <c r="C14" s="3" t="s">
        <v>1703</v>
      </c>
      <c r="D14" s="3" t="s">
        <v>1730</v>
      </c>
      <c r="E14" s="3" t="s">
        <v>1705</v>
      </c>
    </row>
    <row r="15" customFormat="false" ht="45.75" hidden="false" customHeight="true" outlineLevel="0" collapsed="false">
      <c r="A15" s="3" t="n">
        <v>14</v>
      </c>
      <c r="B15" s="3" t="s">
        <v>1731</v>
      </c>
      <c r="C15" s="3" t="s">
        <v>1709</v>
      </c>
      <c r="D15" s="3" t="s">
        <v>1732</v>
      </c>
      <c r="E15" s="3" t="s">
        <v>1705</v>
      </c>
    </row>
    <row r="16" customFormat="false" ht="23.25" hidden="false" customHeight="true" outlineLevel="0" collapsed="false">
      <c r="A16" s="3" t="n">
        <v>15</v>
      </c>
      <c r="B16" s="3" t="s">
        <v>1733</v>
      </c>
      <c r="C16" s="3" t="s">
        <v>1709</v>
      </c>
      <c r="D16" s="3" t="s">
        <v>1734</v>
      </c>
      <c r="E16" s="3" t="s">
        <v>1705</v>
      </c>
    </row>
    <row r="17" customFormat="false" ht="34.5" hidden="false" customHeight="true" outlineLevel="0" collapsed="false">
      <c r="A17" s="3" t="n">
        <v>16</v>
      </c>
      <c r="B17" s="3" t="s">
        <v>1735</v>
      </c>
      <c r="C17" s="3" t="s">
        <v>1703</v>
      </c>
      <c r="D17" s="3" t="s">
        <v>1736</v>
      </c>
      <c r="E17" s="3" t="s">
        <v>1705</v>
      </c>
    </row>
    <row r="18" customFormat="false" ht="57" hidden="false" customHeight="true" outlineLevel="0" collapsed="false">
      <c r="A18" s="3" t="n">
        <v>17</v>
      </c>
      <c r="B18" s="3" t="s">
        <v>1737</v>
      </c>
      <c r="C18" s="3" t="s">
        <v>1703</v>
      </c>
      <c r="D18" s="3" t="s">
        <v>1738</v>
      </c>
      <c r="E18" s="3" t="s">
        <v>1705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2026-10-27T12:50:56Z</dcterms:created>
  <dc:creator>openpyxl</dc:creator>
  <dc:description/>
  <dc:language>en-US</dc:language>
  <cp:lastModifiedBy/>
  <dcterms:modified xsi:type="dcterms:W3CDTF">2026-10-28T20:41:46Z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