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efore-After" sheetId="1" state="visible" r:id="rId3"/>
    <sheet name="URLs" sheetId="2" state="visible" r:id="rId4"/>
    <sheet name="Rules" sheetId="3" state="visible" r:id="rId5"/>
  </sheets>
  <definedNames>
    <definedName function="false" hidden="true" localSheetId="0" name="_xlnm._FilterDatabase" vbProcedure="false">'Before-After'!$A$1:$K$92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<sst xmlns="http://schemas.openxmlformats.org/spreadsheetml/2006/main" count="1015" uniqueCount="395">
  <si>
    <t xml:space="preserve">#</t>
  </si>
  <si>
    <t xml:space="preserve">Page URL</t>
  </si>
  <si>
    <t xml:space="preserve">Page ID</t>
  </si>
  <si>
    <t xml:space="preserve">Where</t>
  </si>
  <si>
    <t xml:space="preserve">Section</t>
  </si>
  <si>
    <t xml:space="preserve">Rule</t>
  </si>
  <si>
    <t xml:space="preserve">Before (current text)</t>
  </si>
  <si>
    <t xml:space="preserve">After (proposed)</t>
  </si>
  <si>
    <t xml:space="preserve">Note</t>
  </si>
  <si>
    <t xml:space="preserve">Sharad decision</t>
  </si>
  <si>
    <t xml:space="preserve">Sharad comment</t>
  </si>
  <si>
    <t xml:space="preserve">Raw before (for applying)</t>
  </si>
  <si>
    <t xml:space="preserve">Raw after (for applying)</t>
  </si>
  <si>
    <t xml:space="preserve">https://gondaliyacpa.ca/accountant-for-masonry-contractors/</t>
  </si>
  <si>
    <t xml:space="preserve">Visible</t>
  </si>
  <si>
    <t xml:space="preserve">Case study - what we did</t>
  </si>
  <si>
    <t xml:space="preserve">R1</t>
  </si>
  <si>
    <t xml:space="preserve">applied the $500,000 Small Business Deduction so active income is taxed near 12.2%, filed the outstanding T5018 slips, and set brick, block and mortar as section 10 inventory.</t>
  </si>
  <si>
    <t xml:space="preserve">applied the $500,000 Small Business Deduction so active income is taxed near 11.2% (12.2% before July 1, 2026), filed the outstanding T5018 slips, and set brick, block and mortar as section 10 inventory.</t>
  </si>
  <si>
    <t xml:space="preserve">Case-study result stated without a date as the current SBD-taxed rate; treated as current. If Sharad dates this engagement before July 1, 2026, switch to R3 (leave).</t>
  </si>
  <si>
    <t xml:space="preserve">Case study - result</t>
  </si>
  <si>
    <t xml:space="preserve">Active income taxed near the 12.2% small-business rate</t>
  </si>
  <si>
    <t xml:space="preserve">Active income taxed near the 11.2% small-business rate</t>
  </si>
  <si>
    <t xml:space="preserve">&lt;li&gt;Active income taxed near the 12.2% small-business rate&lt;/li&gt;</t>
  </si>
  <si>
    <t xml:space="preserve">&lt;li&gt;Active income taxed near the 11.2% small-business rate&lt;/li&gt;</t>
  </si>
  <si>
    <t xml:space="preserve">https://gondaliyacpa.ca/fire-protection-contractor-tax-planning-canada/</t>
  </si>
  <si>
    <t xml:space="preserve">The Structure - Small Business Deduction</t>
  </si>
  <si>
    <t xml:space="preserve">R3</t>
  </si>
  <si>
    <t xml:space="preserve">giving a blended provincial rate of roughly 2.7% for a calendar-year corporation and a combined rate near 11.7% rather than the 12.2% that applied before.</t>
  </si>
  <si>
    <t xml:space="preserve">12.2% is stated as the rate that applied before July 1, 2026; leave as is.</t>
  </si>
  <si>
    <t xml:space="preserve">giving a blended provincial rate of roughly 2.7% for a calendar-year corporation and a combined rate near 11.7% rather than the 12.2% that applied before.&lt;/p&gt;</t>
  </si>
  <si>
    <t xml:space="preserve">https://gondaliyacpa.ca/accountant-for-millwork-companies/</t>
  </si>
  <si>
    <t xml:space="preserve">applied the $500,000 Small Business Deduction so active income is taxed near 12.2%, set section 10 materials and work-in-progress inventory, and filed Schedule 31 for the apprenticeship credit.</t>
  </si>
  <si>
    <t xml:space="preserve">applied the $500,000 Small Business Deduction so active income is taxed near 11.2% (12.2% before July 1, 2026), set section 10 materials and work-in-progress inventory, and filed Schedule 31 for the apprenticeship credit.</t>
  </si>
  <si>
    <t xml:space="preserve">Cut the combined tax bill materially at the 12.2% rate</t>
  </si>
  <si>
    <t xml:space="preserve">Cut the combined tax bill materially at the 11.2% rate</t>
  </si>
  <si>
    <t xml:space="preserve">&lt;li&gt;Cut the combined tax bill materially at the 12.2% rate&lt;/li&gt;</t>
  </si>
  <si>
    <t xml:space="preserve">&lt;li&gt;Cut the combined tax bill materially at the 11.2% rate&lt;/li&gt;</t>
  </si>
  <si>
    <t xml:space="preserve">https://gondaliyacpa.ca/accountant-for-landscaping-companies/</t>
  </si>
  <si>
    <t xml:space="preserve">applied the $500,000 Small Business Deduction so active income is taxed near 12.2%, and set up the prepaid maintenance contracts as deferred revenue recognized across the season.</t>
  </si>
  <si>
    <t xml:space="preserve">applied the $500,000 Small Business Deduction so active income is taxed near 11.2% (12.2% before July 1, 2026), and set up the prepaid maintenance contracts as deferred revenue recognized across the season.</t>
  </si>
  <si>
    <t xml:space="preserve">https://gondaliyacpa.ca/accountant-for-snow-removal-businesses/</t>
  </si>
  <si>
    <t xml:space="preserve">applied the $500,000 Small Business Deduction so active income is taxed near 12.2%, reclassified the loaders to Class 38 at 30% to recover the lost CCA, and filed the outstanding T5018 slips for every subcontracted route.</t>
  </si>
  <si>
    <t xml:space="preserve">applied the $500,000 Small Business Deduction so active income is taxed near 11.2% (12.2% before July 1, 2026), reclassified the loaders to Class 38 at 30% to recover the lost CCA, and filed the outstanding T5018 slips for every subcontracted route.</t>
  </si>
  <si>
    <t xml:space="preserve">https://gondaliyacpa.ca/accountant-for-lawn-care-businesses/</t>
  </si>
  <si>
    <t xml:space="preserve">Cut the combined tax rate from personal levels toward 12.2%</t>
  </si>
  <si>
    <t xml:space="preserve">Cut the combined tax rate from personal levels toward 11.2% (12.2% before July 1, 2026)</t>
  </si>
  <si>
    <t xml:space="preserve">&lt;li&gt;Cut the combined tax rate from personal levels toward 12.2%&lt;/li&gt;</t>
  </si>
  <si>
    <t xml:space="preserve">&lt;li&gt;Cut the combined tax rate from personal levels toward 11.2% (12.2% before July 1, 2026)&lt;/li&gt;</t>
  </si>
  <si>
    <t xml:space="preserve">https://gondaliyacpa.ca/clothing-store-year-end-accounting-canada/</t>
  </si>
  <si>
    <t xml:space="preserve">The Filing - Small Business Deduction</t>
  </si>
  <si>
    <t xml:space="preserve">giving a combined rate near 11.7% rather than the 12.2% that applied before the change.</t>
  </si>
  <si>
    <t xml:space="preserve">Rates update note</t>
  </si>
  <si>
    <t xml:space="preserve">giving a blended provincial rate of roughly 2.7% for a calendar-year corporation and a combined rate near 11.7% rather than the previous 12.2%.</t>
  </si>
  <si>
    <t xml:space="preserve">https://gondaliyacpa.ca/accountant-for-garage-door-companies/</t>
  </si>
  <si>
    <t xml:space="preserve">applied the $500,000 Small Business Deduction so active income is taxed near 12.2%, filed Schedule 31 for the apprenticeship credit, and filed the outstanding T5018 returns.</t>
  </si>
  <si>
    <t xml:space="preserve">applied the $500,000 Small Business Deduction so active income is taxed near 11.2% (12.2% before July 1, 2026), filed Schedule 31 for the apprenticeship credit, and filed the outstanding T5018 returns.</t>
  </si>
  <si>
    <t xml:space="preserve">https://gondaliyacpa.ca/accountant-for-insulation-contractors/</t>
  </si>
  <si>
    <t xml:space="preserve">applied the $500,000 Small Business Deduction so active income is taxed near 12.2%, filed Schedule 31 for the apprentices, and prepared the outstanding T5018 returns before CRA raised them.</t>
  </si>
  <si>
    <t xml:space="preserve">applied the $500,000 Small Business Deduction so active income is taxed near 11.2% (12.2% before July 1, 2026), filed Schedule 31 for the apprentices, and prepared the outstanding T5018 returns before CRA raised them.</t>
  </si>
  <si>
    <t xml:space="preserve">https://gondaliyacpa.ca/accountant-for-fire-protection-contractors/</t>
  </si>
  <si>
    <t xml:space="preserve">applied the $500,000 Small Business Deduction at the 12.2% rate, filed every outstanding T5018, and set up section 10 materials inventory for pipe, heads, panels and extinguishers so cost of materials matched what was installed.</t>
  </si>
  <si>
    <t xml:space="preserve">applied the $500,000 Small Business Deduction at the 11.2% (12.2% before July 1, 2026) rate, filed every outstanding T5018, and set up section 10 materials inventory for pipe, heads, panels and extinguishers so cost of materials matched what was installed.</t>
  </si>
  <si>
    <t xml:space="preserve">https://gondaliyacpa.ca/accountant-for-clothing-stores/</t>
  </si>
  <si>
    <t xml:space="preserve">We incorporated under the Ontario Business Corporations Act, moved the inventory, fixtures and goodwill across on a section 85 rollover, applied the $500,000 Small Business Deduction so active income is taxed near 12.2%, deferred gift-card revenue until redemption, and capitalized the fixtures as Class 8 and the fit-out as Class 13.</t>
  </si>
  <si>
    <t xml:space="preserve">We incorporated under the Ontario Business Corporations Act, moved the inventory, fixtures and goodwill across on a section 85 rollover, applied the $500,000 Small Business Deduction so active income is taxed near 11.2% (12.2% before July 1, 2026), deferred gift-card revenue until redemption, and capitalized the fixtures as Class 8 and the fit-out as Class 13.</t>
  </si>
  <si>
    <t xml:space="preserve">https://gondaliyacpa.ca/accountant-for-shoe-stores/</t>
  </si>
  <si>
    <t xml:space="preserve">We incorporated the boutique under the Ontario Business Corporations Act, moved inventory, fixtures and goodwill across on a section 85 rollover with no gain triggered, applied the $500,000 Small Business Deduction so active income is taxed near 12.2%, wrote deadstock down to net realizable value under section 10, and moved gift cards to deferred revenue with breakage.</t>
  </si>
  <si>
    <t xml:space="preserve">We incorporated the boutique under the Ontario Business Corporations Act, moved inventory, fixtures and goodwill across on a section 85 rollover with no gain triggered, applied the $500,000 Small Business Deduction so active income is taxed near 11.2% (12.2% before July 1, 2026), wrote deadstock down to net realizable value under section 10, and moved gift cards to deferred revenue with breakage.</t>
  </si>
  <si>
    <t xml:space="preserve">https://gondaliyacpa.ca/accountant-for-driving-schools/</t>
  </si>
  <si>
    <t xml:space="preserve">We split taxable car lessons from the exempt commercial courses, corrected the HST filings, apportioned the ITCs, and incorporated the school via a section 85 rollover so active income fell under the $500,000 Small Business Deduction near 12.2%.</t>
  </si>
  <si>
    <t xml:space="preserve">We split taxable car lessons from the exempt commercial courses, corrected the HST filings, apportioned the ITCs, and incorporated the school via a section 85 rollover so active income fell under the $500,000 Small Business Deduction near 11.2% (12.2% before July 1, 2026).</t>
  </si>
  <si>
    <t xml:space="preserve">Incorporated at the 12.2% small-business rate</t>
  </si>
  <si>
    <t xml:space="preserve">Incorporated at the 11.2% small-business rate</t>
  </si>
  <si>
    <t xml:space="preserve">https://gondaliyacpa.ca/accountant-for-dance-schools/</t>
  </si>
  <si>
    <t xml:space="preserve">Expertise list item</t>
  </si>
  <si>
    <t xml:space="preserve">On one growing school we shifted $40,000 of surplus off the owner's personal return into the corporation, deferring roughly the gap between the 12.2% small-business rate and the top 53.53% personal rate until the funds were drawn.</t>
  </si>
  <si>
    <t xml:space="preserve">On one growing school we shifted $40,000 of surplus off the owner's personal return into the corporation, deferring roughly the gap between the 11.2% (12.2% before July 1, 2026) small-business rate and the top 53.53% personal rate until the funds were drawn.</t>
  </si>
  <si>
    <t xml:space="preserve">Current small-business rate in the deferral comparison; 53.53% top personal rate left unchanged.</t>
  </si>
  <si>
    <t xml:space="preserve">We incorporated the studio and moved the assets across on a section 85 rollover with no gain triggered, applied the $500,000 Small Business Deduction so active income is taxed near 12.2%, capitalized the fit-out as a Class 13 leasehold improvement over the lease, and corrected worker status under RC4110.</t>
  </si>
  <si>
    <t xml:space="preserve">We incorporated the studio and moved the assets across on a section 85 rollover with no gain triggered, applied the $500,000 Small Business Deduction so active income is taxed near 11.2%, capitalized the fit-out as a Class 13 leasehold improvement over the lease, and corrected worker status under RC4110.</t>
  </si>
  <si>
    <t xml:space="preserve">https://gondaliyacpa.ca/accountant-for-laundry-businesses/</t>
  </si>
  <si>
    <t xml:space="preserve">We incorporated under the Ontario Business Corporations Act, moved the assets across on a section 85 rollover with no gain triggered, applied the $500,000 Small Business Deduction so active income is taxed near 12.2%, and capitalized the equipment as Class 8 and the fit-out as Class 13 leasehold improvements.</t>
  </si>
  <si>
    <t xml:space="preserve">We incorporated under the Ontario Business Corporations Act, moved the assets across on a section 85 rollover with no gain triggered, applied the $500,000 Small Business Deduction so active income is taxed near 11.2% (12.2% before July 1, 2026), and capitalized the equipment as Class 8 and the fit-out as Class 13 leasehold improvements.</t>
  </si>
  <si>
    <t xml:space="preserve">https://gondaliyacpa.ca/accountant-for-nail-salons/</t>
  </si>
  <si>
    <t xml:space="preserve">We reviewed each nail tech against the RC4110 tests, corrected the ones that met the employee test onto T4 payroll with WSIB, then incorporated the salon and moved the assets across on a section 85 rollover, applying the $500,000 small business deduction at 12.2%.</t>
  </si>
  <si>
    <t xml:space="preserve">We reviewed each nail tech against the RC4110 tests, corrected the ones that met the employee test onto T4 payroll with WSIB, then incorporated the salon and moved the assets across on a section 85 rollover, applying the $500,000 small business deduction at 11.2% (12.2% before July 1, 2026).</t>
  </si>
  <si>
    <t xml:space="preserve">https://gondaliyacpa.ca/accountant-for-barbershops/</t>
  </si>
  <si>
    <t xml:space="preserve">We incorporated the shop under the Ontario Business Corporations Act, moved the assets across on a section 85 rollover with no gain triggered, applied the $500,000 Small Business Deduction so active income is taxed near 12.2%, capitalized the fit-out as Class 13 leasehold improvements amortized over the lease, and placed the chairs and stations in Class 8 and the clippers in Class 12 so every asset was deducted in the right pool.</t>
  </si>
  <si>
    <t xml:space="preserve">We incorporated the shop under the Ontario Business Corporations Act, moved the assets across on a section 85 rollover with no gain triggered, applied the $500,000 Small Business Deduction so active income is taxed near 11.2% (12.2% before July 1, 2026), capitalized the fit-out as Class 13 leasehold improvements amortized over the lease, and placed the chairs and stations in Class 8 and the clippers in Class 12 so every asset was deducted in the right pool.</t>
  </si>
  <si>
    <t xml:space="preserve">https://gondaliyacpa.ca/accountant-for-gyms/</t>
  </si>
  <si>
    <t xml:space="preserve">We incorporated the gym under the Ontario Business Corporations Act, moved the equipment and goodwill across on a section 85 rollover with no gain triggered, applied the $500,000 Small Business Deduction so active income is taxed near 12.2%, and capitalized the fit-out as Class 13 leasehold improvements and the franchise fee as Class 14.1.</t>
  </si>
  <si>
    <t xml:space="preserve">We incorporated the gym under the Ontario Business Corporations Act, moved the equipment and goodwill across on a section 85 rollover with no gain triggered, applied the $500,000 Small Business Deduction so active income is taxed near 11.2% (12.2% before July 1, 2026), and capitalized the fit-out as Class 13 leasehold improvements and the franchise fee as Class 14.1.</t>
  </si>
  <si>
    <t xml:space="preserve">https://gondaliyacpa.ca/accountant-for-used-car-dealerships/</t>
  </si>
  <si>
    <t xml:space="preserve">We incorporated the dealership under the Ontario Business Corporations Act, moved the inventory, equipment and goodwill across on a section 85 rollover with no gain triggered, applied the $500,000 Small Business Deduction so active income is taxed near 12.2%, separated F&amp;I reserve and warranty revenue into their own accounts, and set a salary-and-dividend mix so surplus could stay in the company and defer tax.</t>
  </si>
  <si>
    <t xml:space="preserve">We incorporated the dealership under the Ontario Business Corporations Act, moved the inventory, equipment and goodwill across on a section 85 rollover with no gain triggered, applied the $500,000 Small Business Deduction so active income is taxed near 11.2% (12.2% before July 1, 2026), separated F&amp;I reserve and warranty revenue into their own accounts, and set a salary-and-dividend mix so surplus could stay in the company and defer tax.</t>
  </si>
  <si>
    <t xml:space="preserve">We incorporated the dealership under the Ontario Business Corporations Act, moved the inventory, equipment and goodwill across on a section 85 rollover with no gain triggered, applied the $500,000 Small Business Deduction so active income is taxed near 12.2%, separated F&amp;amp;I reserve and warranty revenue into their own accounts, and set a salary-and-dividend mix so surplus could stay in the company and defer tax.</t>
  </si>
  <si>
    <t xml:space="preserve">We incorporated the dealership under the Ontario Business Corporations Act, moved the inventory, equipment and goodwill across on a section 85 rollover with no gain triggered, applied the $500,000 Small Business Deduction so active income is taxed near 11.2% (12.2% before July 1, 2026), separated F&amp;amp;I reserve and warranty revenue into their own accounts, and set a salary-and-dividend mix so surplus could stay in the company and defer tax.</t>
  </si>
  <si>
    <t xml:space="preserve">https://gondaliyacpa.ca/accountant-for-car-rental-businesses/</t>
  </si>
  <si>
    <t xml:space="preserve">We incorporated the operation and moved the fleet, financing and goodwill across on a section 85 rollover with no gain triggered, applied the $500,000 Small Business Deduction so active income is taxed near 12.2%, reclassified the security deposits to a balance-sheet liability, and set up proper LDW revenue recognition on its own line so the HST base was finally correct.</t>
  </si>
  <si>
    <t xml:space="preserve">We incorporated the operation and moved the fleet, financing and goodwill across on a section 85 rollover with no gain triggered, applied the $500,000 Small Business Deduction so active income is taxed near 11.2% (12.2% before July 1, 2026), reclassified the security deposits to a balance-sheet liability, and set up proper LDW revenue recognition on its own line so the HST base was finally correct.</t>
  </si>
  <si>
    <t xml:space="preserve">https://gondaliyacpa.ca/year-end-bonus-tax-calculator/</t>
  </si>
  <si>
    <t xml:space="preserve">Guide - The Ontario Rate Cut Changes the Baseline</t>
  </si>
  <si>
    <t xml:space="preserve">Ontario reduced its small business rate from 3.2% to 2.2% effective 1 July 2026, so the combined small business rate is now 11.2% rather than 12.2%.</t>
  </si>
  <si>
    <t xml:space="preserve">States 12.2%/3.2% only as the former rate replaced on July 1, 2026; already correct.</t>
  </si>
  <si>
    <t xml:space="preserve">&lt;p&gt;Ontario reduced its small business rate from 3.2% to 2.2% effective 1 July 2026, so the combined small business rate is now 11.2% rather than 12.2%.</t>
  </si>
  <si>
    <t xml:space="preserve">Calculator code</t>
  </si>
  <si>
    <t xml:space="preserve">Calculator flags list (addItem string in run())</t>
  </si>
  <si>
    <t xml:space="preserve">Ontario cut its small business rate to 2.2% on 1 July 2026, so the combined small business rate is now 11.2% rather than 12.2%.</t>
  </si>
  <si>
    <t xml:space="preserve">https://gondaliyacpa.ca/accountant-for-moving-companies/</t>
  </si>
  <si>
    <t xml:space="preserve">applied the $500,000 Small Business Deduction so active income is taxed near 12.2%, and separated monthly storage revenue and taxable box sales from moving labour into their own accounts with the right HST treatment on each.</t>
  </si>
  <si>
    <t xml:space="preserve">applied the $500,000 Small Business Deduction so active income is taxed near 11.2% (12.2% before July 1, 2026), and separated monthly storage revenue and taxable box sales from moving labour into their own accounts with the right HST treatment on each.</t>
  </si>
  <si>
    <t xml:space="preserve">https://gondaliyacpa.ca/accountant-for-immigration-consultants/</t>
  </si>
  <si>
    <t xml:space="preserve">applied the $500,000 Small Business Deduction so active profit is taxed near 12.2%, and rebuilt the books so government filing fees flow through as disbursements rather than income, with the domestic and zero-rated HST streams split.</t>
  </si>
  <si>
    <t xml:space="preserve">applied the $500,000 Small Business Deduction so active profit is taxed near 11.2% (12.2% before July 1, 2026), and rebuilt the books so government filing fees flow through as disbursements rather than income, with the domestic and zero-rated HST streams split.</t>
  </si>
  <si>
    <t xml:space="preserve">https://gondaliyacpa.ca/accountant-for-notaries/</t>
  </si>
  <si>
    <t xml:space="preserve">and applied the $500,000 Small Business Deduction so active income was taxed near 12.2%. We then captured every missed deduction — E&amp;O, dues and home office under ITA 18(12) — going forward.</t>
  </si>
  <si>
    <t xml:space="preserve">and applied the $500,000 Small Business Deduction so active income was taxed near 11.2% (12.2% before July 1, 2026). We then captured every missed deduction — E&amp;O, dues and home office under ITA 18(12) — going forward.</t>
  </si>
  <si>
    <t xml:space="preserve">and applied the $500,000 Small Business Deduction so active income was taxed near 12.2%. We then captured every missed deduction &amp;mdash; E&amp;amp;O, dues and home office under ITA 18(12) &amp;mdash; going forward.</t>
  </si>
  <si>
    <t xml:space="preserve">and applied the $500,000 Small Business Deduction so active income was taxed near 11.2% (12.2% before July 1, 2026). We then captured every missed deduction &amp;mdash; E&amp;amp;O, dues and home office under ITA 18(12) &amp;mdash; going forward.</t>
  </si>
  <si>
    <t xml:space="preserve">https://gondaliyacpa.ca/accountant-for-tire-shops/</t>
  </si>
  <si>
    <t xml:space="preserve">applied the $500,000 Small Business Deduction so active income was taxed near 12.2%, and deferred the tire-hotel storage revenue over the six-month storage season.</t>
  </si>
  <si>
    <t xml:space="preserve">applied the $500,000 Small Business Deduction so active income was taxed near 11.2% (12.2% before July 1, 2026), and deferred the tire-hotel storage revenue over the six-month storage season.</t>
  </si>
  <si>
    <t xml:space="preserve">https://gondaliyacpa.ca/accountant-for-towing-companies/</t>
  </si>
  <si>
    <t xml:space="preserve">applied the $500,000 Small Business Deduction so active income is taxed near 12.2%, set storage revenue to be recognized over the storage period, and claimed a bad-debt deduction under paragraph 20(1)(p) on the uncollectible contract receivables.</t>
  </si>
  <si>
    <t xml:space="preserve">applied the $500,000 Small Business Deduction so active income is taxed near 11.2% (12.2% before July 1, 2026), set storage revenue to be recognized over the storage period, and claimed a bad-debt deduction under paragraph 20(1)(p) on the uncollectible contract receivables.</t>
  </si>
  <si>
    <t xml:space="preserve">Cut the combined tax bill materially at the 12.2% rateWrote off $9,400</t>
  </si>
  <si>
    <t xml:space="preserve">Cut the combined tax bill materially at the 11.2% rateWrote off $9,400</t>
  </si>
  <si>
    <t xml:space="preserve">&lt;li&gt;Cut the combined tax bill materially at the 12.2% rate&lt;/li&gt;&lt;li&gt;Wrote off $9,400</t>
  </si>
  <si>
    <t xml:space="preserve">&lt;li&gt;Cut the combined tax bill materially at the 11.2% rate&lt;/li&gt;&lt;li&gt;Wrote off $9,400</t>
  </si>
  <si>
    <t xml:space="preserve">https://gondaliyacpa.ca/accountant-for-auto-repair-shops/</t>
  </si>
  <si>
    <t xml:space="preserve">applied the $500,000 Small Business Deduction so active income is taxed near 12.2%, and separated eco fees and core charges into their own accounts.</t>
  </si>
  <si>
    <t xml:space="preserve">applied the $500,000 Small Business Deduction so active income is taxed near 11.2% (12.2% before July 1, 2026), and separated eco fees and core charges into their own accounts.</t>
  </si>
  <si>
    <t xml:space="preserve">Cut the combined tax bill materially at the 12.2% rateEco fees and core charges</t>
  </si>
  <si>
    <t xml:space="preserve">Cut the combined tax bill materially at the 11.2% rateEco fees and core charges</t>
  </si>
  <si>
    <t xml:space="preserve">&lt;li&gt;Cut the combined tax bill materially at the 12.2% rate&lt;/li&gt;&lt;li&gt;Eco fees and core charges</t>
  </si>
  <si>
    <t xml:space="preserve">&lt;li&gt;Cut the combined tax bill materially at the 11.2% rate&lt;/li&gt;&lt;li&gt;Eco fees and core charges</t>
  </si>
  <si>
    <t xml:space="preserve">https://gondaliyacpa.ca/accountant-for-staffing-agencies/</t>
  </si>
  <si>
    <t xml:space="preserve">applied the $500,000 Small Business Deduction to bring the first half-million near the 12.2% Ontario rate, and set up EHT accruals at 1.95% above the $1,000,000 exemption with a monthly provision.</t>
  </si>
  <si>
    <t xml:space="preserve">applied the $500,000 Small Business Deduction to bring the first half-million near the 11.2% (12.2% before July 1, 2026) Ontario rate, and set up EHT accruals at 1.95% above the $1,000,000 exemption with a monthly provision.</t>
  </si>
  <si>
    <t xml:space="preserve">Cut the combined tax bill materially at the 12.2% small-business rate</t>
  </si>
  <si>
    <t xml:space="preserve">Cut the combined tax bill materially at the 11.2% small-business rate</t>
  </si>
  <si>
    <t xml:space="preserve">&lt;li&gt;Cut the combined tax bill materially at the 12.2% small-business rate&lt;/li&gt;</t>
  </si>
  <si>
    <t xml:space="preserve">&lt;li&gt;Cut the combined tax bill materially at the 11.2% small-business rate&lt;/li&gt;</t>
  </si>
  <si>
    <t xml:space="preserve">https://gondaliyacpa.ca/accountant-for-personal-support-worker-businesses/</t>
  </si>
  <si>
    <t xml:space="preserve">Cut the tax bill materially at the 12.2% small-business rate</t>
  </si>
  <si>
    <t xml:space="preserve">Cut the tax bill materially at the 11.2% (12.2% before July 1, 2026) small-business rate</t>
  </si>
  <si>
    <t xml:space="preserve">&lt;li&gt;Cut the tax bill materially at the 12.2% small-business rate&lt;/li&gt;</t>
  </si>
  <si>
    <t xml:space="preserve">&lt;li&gt;Cut the tax bill materially at the 11.2% (12.2% before July 1, 2026) small-business rate&lt;/li&gt;</t>
  </si>
  <si>
    <t xml:space="preserve">https://gondaliyacpa.ca/passive-income-sbd-grind-calculator/</t>
  </si>
  <si>
    <t xml:space="preserve">Guide - Ontario Also Cut the Rate</t>
  </si>
  <si>
    <t xml:space="preserve">Ontario reduced its small business rate from 3.2% to 2.2% effective 1 July 2026, so the combined small business rate is now 11.2% rather than the 12.2% you will still see quoted almost everywhere.</t>
  </si>
  <si>
    <t xml:space="preserve">&lt;p&gt;Ontario reduced its small business rate from 3.2% to 2.2% effective 1 July 2026, so the combined small business rate is now 11.2% rather than the 12.2% you will still see quoted almost everywhere.&lt;/p&gt;</t>
  </si>
  <si>
    <t xml:space="preserve">FAQ - Does the grind really take me from 11.2% to 26.5%?</t>
  </si>
  <si>
    <t xml:space="preserve">The combined small business rate is also 11.2% now rather than 12.2%, following Ontario's rate cut on 1 July 2026.</t>
  </si>
  <si>
    <t xml:space="preserve">JSON-LD</t>
  </si>
  <si>
    <t xml:space="preserve">The combined small business rate is also 11.2 percent now rather than 12.2 percent, following Ontario's rate cut on 1 July 2026.</t>
  </si>
  <si>
    <t xml:space="preserve">Ontario reduced its small business rate from 3.2% to 2.2% on 1 July 2026, so the combined small business rate is now " + pct(sbdRate) + " rather than the 12.2% still quoted in most places.</t>
  </si>
  <si>
    <t xml:space="preserve">https://gondaliyacpa.ca/accountant-for-osteopaths/</t>
  </si>
  <si>
    <t xml:space="preserve">We separated her treatment fee-split from her chair-rental income and booked each correctly, then incorporated a standard business corporation and modelled the move in on a section 85 rollover, taxing active income at 12.2% on the first $500,000 under the small business deduction and building a salary-and-dividend mix tested against the TOSI rules.</t>
  </si>
  <si>
    <t xml:space="preserve">We separated her treatment fee-split from her chair-rental income and booked each correctly, then incorporated a standard business corporation and modelled the move in on a section 85 rollover, taxing active income at 11.2% (12.2% before July 1, 2026) on the first $500,000 under the small business deduction and building a salary-and-dividend mix tested against the TOSI rules.</t>
  </si>
  <si>
    <t xml:space="preserve">https://gondaliyacpa.ca/accountant-for-specialist-physicians/</t>
  </si>
  <si>
    <t xml:space="preserve">We incorporated a Medicine Professional Corporation with a CPSO Certificate of Authorization, rolled the practice in on a section 85 election, moved retained earnings to the 12.2% small-business rate, restructured the portfolio to keep aggregate investment income under the $50,000 passive-income threshold, and established an Individual Pension Plan the MPC deducts on its T2.</t>
  </si>
  <si>
    <t xml:space="preserve">We incorporated a Medicine Professional Corporation with a CPSO Certificate of Authorization, rolled the practice in on a section 85 election, moved retained earnings to the 11.2% (12.2% before July 1, 2026) small-business rate, restructured the portfolio to keep aggregate investment income under the $50,000 passive-income threshold, and established an Individual Pension Plan the MPC deducts on its T2.</t>
  </si>
  <si>
    <t xml:space="preserve">We restructured the share ownership, documented the excluded-business and return-on-capital tests, set a salary-and-dividend mix that kept active income under the $500,000 limit taxed at 12.2%, and deferred the surplus corporately rather than drawing it, capturing the spread between the corporate and top personal rates.</t>
  </si>
  <si>
    <t xml:space="preserve">We restructured the share ownership, documented the excluded-business and return-on-capital tests, set a salary-and-dividend mix that kept active income under the $500,000 limit taxed at 11.2%, and deferred the surplus corporately rather than drawing it, capturing the spread between the corporate and top personal rates.</t>
  </si>
  <si>
    <t xml:space="preserve">Deferred tax on retained earnings at roughly 12.2%</t>
  </si>
  <si>
    <t xml:space="preserve">Deferred tax on retained earnings at roughly 11.2%</t>
  </si>
  <si>
    <t xml:space="preserve">https://gondaliyacpa.ca/accountant-for-speech-language-pathologists/</t>
  </si>
  <si>
    <t xml:space="preserve">We modelled the break-even, incorporated a Speech-Language Pathology Professional Corporation with the CASLPO Certificate of Authorization, moved her goodwill and assessment tools across on a section 85 rollover, then set a salary-and-dividend mix within the TOSI rules and funded an Individual Pension Plan so active income taxed at 12.2% under the $500,000 small business deduction stayed working for her.</t>
  </si>
  <si>
    <t xml:space="preserve">We modelled the break-even, incorporated a Speech-Language Pathology Professional Corporation with the CASLPO Certificate of Authorization, moved her goodwill and assessment tools across on a section 85 rollover, then set a salary-and-dividend mix within the TOSI rules and funded an Individual Pension Plan so active income taxed at 11.2% (12.2% before July 1, 2026) under the $500,000 small business deduction stayed working for her.</t>
  </si>
  <si>
    <t xml:space="preserve">Deferred tax on surplus left in the corporation at 12.2%</t>
  </si>
  <si>
    <t xml:space="preserve">Deferred tax on surplus left in the corporation at 11.2%</t>
  </si>
  <si>
    <t xml:space="preserve">https://gondaliyacpa.ca/accountant-for-dietitians/</t>
  </si>
  <si>
    <t xml:space="preserve">We modelled the break-even, incorporated a Dietetic Professional Corporation with the CDO Certificate of Authorization, moved her goodwill and equipment across on a section 85 rollover, then set a salary-and-dividend mix within the TOSI rules and funded an Individual Pension Plan so active income taxed at 12.2% under the $500,000 small business deduction stayed working for her.</t>
  </si>
  <si>
    <t xml:space="preserve">We modelled the break-even, incorporated a Dietetic Professional Corporation with the CDO Certificate of Authorization, moved her goodwill and equipment across on a section 85 rollover, then set a salary-and-dividend mix within the TOSI rules and funded an Individual Pension Plan so active income taxed at 11.2% (12.2% before July 1, 2026) under the $500,000 small business deduction stayed working for her.</t>
  </si>
  <si>
    <t xml:space="preserve">https://gondaliyacpa.ca/accountant-for-nutritionists/</t>
  </si>
  <si>
    <t xml:space="preserve">We incorporated a standard business corporation, moved the practice in on a section 85 rollover, and taxed active income at 12.2% on the first $500,000 under the section 125 small business deduction.</t>
  </si>
  <si>
    <t xml:space="preserve">We incorporated a standard business corporation, moved the practice in on a section 85 rollover, and taxed active income at 11.2% (12.2% before July 1, 2026) on the first $500,000 under the section 125 small business deduction.</t>
  </si>
  <si>
    <t xml:space="preserve">https://gondaliyacpa.ca/accountant-for-occupational-therapists/</t>
  </si>
  <si>
    <t xml:space="preserve">Surplus taxed at ~12.2%, not top personal rates</t>
  </si>
  <si>
    <t xml:space="preserve">Surplus taxed at ~11.2% (12.2% before July 1, 2026), not top personal rates</t>
  </si>
  <si>
    <t xml:space="preserve">https://gondaliyacpa.ca/accountant-for-optometrists/</t>
  </si>
  <si>
    <t xml:space="preserve">We incorporated an Optometry Professional Corporation with a COO Certificate of Authorization, rolled the practice in on a section 85 election, set a salary-and-dividend mix using the $500,000 small business deduction at 12.2%, issued non-voting family shares within the TOSI rules, and established an Individual Pension Plan the OPC deducts.</t>
  </si>
  <si>
    <t xml:space="preserve">We incorporated an Optometry Professional Corporation with a COO Certificate of Authorization, rolled the practice in on a section 85 election, set a salary-and-dividend mix using the $500,000 small business deduction at 11.2% (12.2% before July 1, 2026), issued non-voting family shares within the TOSI rules, and established an Individual Pension Plan the OPC deducts.</t>
  </si>
  <si>
    <t xml:space="preserve">https://gondaliyacpa.ca/accountant-for-nurses/</t>
  </si>
  <si>
    <t xml:space="preserve">We incorporated her Nursing Professional Corporation, moved the practice in on a section 85 rollover, and taxed active income at 12.2% on the first $500,000 under the section 125 small business deduction.</t>
  </si>
  <si>
    <t xml:space="preserve">We incorporated her Nursing Professional Corporation, moved the practice in on a section 85 rollover, and taxed active income at 11.2% (12.2% before July 1, 2026) on the first $500,000 under the section 125 small business deduction.</t>
  </si>
  <si>
    <t xml:space="preserve">https://gondaliyacpa.ca/accountant-for-family-doctors/</t>
  </si>
  <si>
    <t xml:space="preserve">We incorporated a Medical Professional Corporation with a CPSO Certificate of Authorization, rolled the practice in on a section 85 election, built a monthly capitation and OHIP reconciliation workflow in QuickBooks Online, set a salary-and-dividend mix using the $500,000 small business deduction at 12.2%, and established an Individual Pension Plan the MPC deducts.</t>
  </si>
  <si>
    <t xml:space="preserve">We incorporated a Medical Professional Corporation with a CPSO Certificate of Authorization, rolled the practice in on a section 85 election, built a monthly capitation and OHIP reconciliation workflow in QuickBooks Online, set a salary-and-dividend mix using the $500,000 small business deduction at 11.2% (12.2% before July 1, 2026), and established an Individual Pension Plan the MPC deducts.</t>
  </si>
  <si>
    <t xml:space="preserve">We purified the MPC of the passive assets, issued non-voting shares to her spouse within the TOSI rules on Form T1206, modelled dividends against her salary, and restored the full 12.2% small-business rate on active income while documenting the excluded-business tests.</t>
  </si>
  <si>
    <t xml:space="preserve">We purified the MPC of the passive assets, issued non-voting shares to her spouse within the TOSI rules on Form T1206, modelled dividends against her salary, and restored the full 11.2% small-business rate on active income while documenting the excluded-business tests.</t>
  </si>
  <si>
    <t xml:space="preserve">https://gondaliyacpa.ca/accountant-for-house-flippers/</t>
  </si>
  <si>
    <t xml:space="preserve">Expertise list - corporate tax</t>
  </si>
  <si>
    <t xml:space="preserve">We complete a section 85 rollover on Form T2057 to move a property you hold personally into the flipping corporation at an elected amount, deferring the business income a straight sale of that property inventory would trigger, so incorporating mid-project on a $600,000 flip creates no immediate CRA liability.</t>
  </si>
  <si>
    <t xml:space="preserve">$600,000 here is the value of a flip property, not the small business limit; R7 does not apply. Leave as is.</t>
  </si>
  <si>
    <t xml:space="preserve">We established that a fix-and-flip corporation earns active business income — an adventure in the nature of trade — not property income, restated the flips to 100% business income under section 9 on amended T2 returns, and claimed the section 125 small business deduction so the first $500,000 was taxed at 12.2%.</t>
  </si>
  <si>
    <t xml:space="preserve">We established that a fix-and-flip corporation earns active business income — an adventure in the nature of trade — not property income, restated the flips to 100% business income under section 9 on amended T2 returns, and claimed the section 125 small business deduction so the first $500,000 was taxed at 11.2% (12.2% before July 1, 2026).</t>
  </si>
  <si>
    <t xml:space="preserve">We established that a fix-and-flip corporation earns active business income &amp;mdash; an adventure in the nature of trade &amp;mdash; not property income, restated the flips to 100% business income under section 9 on amended T2 returns, and claimed the section 125 small business deduction so the first $500,000 was taxed at 12.2%.</t>
  </si>
  <si>
    <t xml:space="preserve">We established that a fix-and-flip corporation earns active business income &amp;mdash; an adventure in the nature of trade &amp;mdash; not property income, restated the flips to 100% business income under section 9 on amended T2 returns, and claimed the section 125 small business deduction so the first $500,000 was taxed at 11.2% (12.2% before July 1, 2026).</t>
  </si>
  <si>
    <t xml:space="preserve">Captured the $500,000 small business deduction at 12.2%</t>
  </si>
  <si>
    <t xml:space="preserve">Captured the $500,000 small business deduction at 11.2%</t>
  </si>
  <si>
    <t xml:space="preserve">https://gondaliyacpa.ca/accountant-for-commercial-landlords/</t>
  </si>
  <si>
    <t xml:space="preserve">Case study - what we did (Ottawa industrial landlord)</t>
  </si>
  <si>
    <t xml:space="preserve">then documented the active management and services to defend the 12.2% rate on the first $500,000 under section 125(7).</t>
  </si>
  <si>
    <t xml:space="preserve">then documented the active management and services to defend the 11.2% (12.2% before July 1, 2026) rate on the first $500,000 under section 125(7).</t>
  </si>
  <si>
    <t xml:space="preserve">https://gondaliyacpa.ca/accountant-for-parking-lot-businesses/</t>
  </si>
  <si>
    <t xml:space="preserve">Case study - problem (specified investment business risk)</t>
  </si>
  <si>
    <t xml:space="preserve">a characterization that would strip the $500,000 Small Business Deduction and tax the first dollar of parking income at the high rate instead of 12.2%.</t>
  </si>
  <si>
    <t xml:space="preserve">a characterization that would strip the $500,000 Small Business Deduction and tax the first dollar of parking income at the high rate instead of 11.2% (12.2% before July 1, 2026).</t>
  </si>
  <si>
    <t xml:space="preserve">https://gondaliyacpa.ca/accountant-for-walk-in-clinics/</t>
  </si>
  <si>
    <t xml:space="preserve">Case study - what we did (MPC purification and IPP)</t>
  </si>
  <si>
    <t xml:space="preserve">and restructured the salary needed to support it, protecting the 12.2% small-business rate on active income.</t>
  </si>
  <si>
    <t xml:space="preserve">and restructured the salary needed to support it, protecting the 11.2% (12.2% before July 1, 2026) small-business rate on active income.</t>
  </si>
  <si>
    <t xml:space="preserve">https://gondaliyacpa.ca/accountant-for-plumbers/</t>
  </si>
  <si>
    <t xml:space="preserve">Case study - what we did (plumbing job costing and pay mix)</t>
  </si>
  <si>
    <t xml:space="preserve">and modelled a salary-and-dividend mix that held the 12.2% small-business rate on the first $500,000 of active income.</t>
  </si>
  <si>
    <t xml:space="preserve">and modelled a salary-and-dividend mix that held the 11.2% (12.2% before July 1, 2026) small-business rate on the first $500,000 of active income.</t>
  </si>
  <si>
    <t xml:space="preserve">https://gondaliyacpa.ca/accountant-for-incorporated-businesses/</t>
  </si>
  <si>
    <t xml:space="preserve">Kept the full $500,000 SBD at the 12.2% rate</t>
  </si>
  <si>
    <t xml:space="preserve">Kept the full $500,000 SBD at the 11.2% (12.2% before July 1, 2026) rate</t>
  </si>
  <si>
    <t xml:space="preserve">&lt;li&gt;Kept the full $500,000 SBD at the 12.2% rate&lt;/li&gt;</t>
  </si>
  <si>
    <t xml:space="preserve">&lt;li&gt;Kept the full $500,000 SBD at the 11.2% (12.2% before July 1, 2026) rate&lt;/li&gt;</t>
  </si>
  <si>
    <t xml:space="preserve">https://gondaliyacpa.ca/accountant-for-side-hustle-businesses/</t>
  </si>
  <si>
    <t xml:space="preserve">Case study - results</t>
  </si>
  <si>
    <t xml:space="preserve">Retained profit taxed at about 12.2% instead of a top personal rate</t>
  </si>
  <si>
    <t xml:space="preserve">Retained profit taxed at about 11.2% (12.2% before July 1, 2026) instead of a top personal rate</t>
  </si>
  <si>
    <t xml:space="preserve">&lt;li&gt;Retained profit taxed at about 12.2% instead of a top personal rate&lt;/li&gt;</t>
  </si>
  <si>
    <t xml:space="preserve">&lt;li&gt;Retained profit taxed at about 11.2% (12.2% before July 1, 2026) instead of a top personal rate&lt;/li&gt;</t>
  </si>
  <si>
    <t xml:space="preserve">https://gondaliyacpa.ca/accounting-and-tax-services-for-small-businesses/</t>
  </si>
  <si>
    <t xml:space="preserve">Case study - results (Vaughan marketing agency)</t>
  </si>
  <si>
    <t xml:space="preserve">Kept income taxed at 12.2% instead of 26.5%</t>
  </si>
  <si>
    <t xml:space="preserve">Kept income taxed at 11.2% (12.2% before July 1, 2026) instead of 26.5%</t>
  </si>
  <si>
    <t xml:space="preserve">&lt;li&gt;Kept income taxed at 12.2% instead of 26.5%&lt;/li&gt;</t>
  </si>
  <si>
    <t xml:space="preserve">&lt;li&gt;Kept income taxed at 11.2% (12.2% before July 1, 2026) instead of 26.5%&lt;/li&gt;</t>
  </si>
  <si>
    <t xml:space="preserve">R4</t>
  </si>
  <si>
    <t xml:space="preserve">Saved $5,005 in corporate tax</t>
  </si>
  <si>
    <t xml:space="preserve">Saved $5,355 in corporate tax</t>
  </si>
  <si>
    <t xml:space="preserve">Sharad to confirm figure. $5,005 = $35,000 x (26.5% - 12.2% = 14.3%), so the implied income kept under the limit is $35,000. At 11.2%: $35,000 x (26.5% - 11.2% = 15.3%) = $5,355. If the engagement predates July 1, 2026, leave both this and the 12.2% row as is.</t>
  </si>
  <si>
    <t xml:space="preserve">&lt;li&gt;Saved $5,005 in corporate tax&lt;/li&gt;</t>
  </si>
  <si>
    <t xml:space="preserve">&lt;li&gt;Saved $5,355 in corporate tax&lt;/li&gt;</t>
  </si>
  <si>
    <t xml:space="preserve">https://gondaliyacpa.ca/should-i-buy-assets-personally-or-through-my-corporation/</t>
  </si>
  <si>
    <t xml:space="preserve">Quick Answer</t>
  </si>
  <si>
    <t xml:space="preserve">Assets that earn business income belong in the corporation: bought with pre-tax dollars taxed near 12.2%, depreciated, HST recovered.</t>
  </si>
  <si>
    <t xml:space="preserve">Assets that earn business income belong in the corporation: bought with pre-tax dollars taxed near 11.2% (12.2% before July 1, 2026), depreciated, HST recovered.</t>
  </si>
  <si>
    <t xml:space="preserve">Investments: The Deferral and Its Two Prices</t>
  </si>
  <si>
    <t xml:space="preserve">money that would have shrunk past 53% on the way out instead compounds from a base taxed near 12.2%.</t>
  </si>
  <si>
    <t xml:space="preserve">money that would have shrunk past 53% on the way out instead compounds from a base taxed near 11.2%.</t>
  </si>
  <si>
    <t xml:space="preserve">FAQ - Why do people say corporate dollars are cheaper?</t>
  </si>
  <si>
    <t xml:space="preserve">R1 + R4</t>
  </si>
  <si>
    <t xml:space="preserve">Because the corporation keeps roughly 87.8 cents of each active dollar after the small business rate of about 12.2%, while a top-bracket owner keeps under 47 cents after personal tax above 53%.</t>
  </si>
  <si>
    <t xml:space="preserve">Because the corporation keeps roughly 88.8 cents of each active dollar after the small business rate of about 11.2%, while a top-bracket owner keeps under 47 cents after personal tax above 53%.</t>
  </si>
  <si>
    <t xml:space="preserve">R4: 87.8 cents = 100 - 12.2; at 11.2% it is 100 - 11.2 = 88.8 cents. Sharad to confirm figure.</t>
  </si>
  <si>
    <t xml:space="preserve">FAQ schema - Why do people say corporate dollars are cheaper?</t>
  </si>
  <si>
    <t xml:space="preserve">JSON-LD copy, in _elementor_data only. R4: 100 - 11.2 = 88.8 cents. Sharad to confirm figure.</t>
  </si>
  <si>
    <t xml:space="preserve">"text":"Because the corporation keeps roughly 87.8 cents of each active dollar after the small business rate of about 12.2%, while a top-bracket owner keeps under 47 cents after personal tax above 53%.</t>
  </si>
  <si>
    <t xml:space="preserve">"text":"Because the corporation keeps roughly 88.8 cents of each active dollar after the small business rate of about 11.2%, while a top-bracket owner keeps under 47 cents after personal tax above 53%.</t>
  </si>
  <si>
    <t xml:space="preserve">FAQ - How do the corporate tax rates figure into all this?</t>
  </si>
  <si>
    <t xml:space="preserve">They are the engine of the whole question: the gap between roughly 12.2% on the first $500,000 of active income and personal rates above 53% is what makes corporate dollars cheaper</t>
  </si>
  <si>
    <t xml:space="preserve">They are the engine of the whole question: the gap between roughly 11.2% on the first $500,000 of active income and personal rates above 53% is what makes corporate dollars cheaper</t>
  </si>
  <si>
    <t xml:space="preserve">FAQ schema - How do the corporate tax rates figure into all this?</t>
  </si>
  <si>
    <t xml:space="preserve">JSON-LD copy, in _elementor_data only.</t>
  </si>
  <si>
    <t xml:space="preserve">"text":"They are the engine of the whole question: the gap between roughly 12.2% on the first $500,000 of active income and personal rates above 53% is what makes corporate dollars cheaper</t>
  </si>
  <si>
    <t xml:space="preserve">"text":"They are the engine of the whole question: the gap between roughly 11.2% on the first $500,000 of active income and personal rates above 53% is what makes corporate dollars cheaper</t>
  </si>
  <si>
    <t xml:space="preserve">https://gondaliyacpa.ca/medical-professional-corporations-mpc-passive-income-tosi-rules/</t>
  </si>
  <si>
    <t xml:space="preserve">The passive income grind section</t>
  </si>
  <si>
    <t xml:space="preserve">that active practice income is taxed at the general rate of about 26.5% in Ontario instead of the low 12.2%.</t>
  </si>
  <si>
    <t xml:space="preserve">that active practice income is taxed at the general rate of about 26.5% in Ontario instead of the low 11.2% (12.2% before July 1, 2026).</t>
  </si>
  <si>
    <t xml:space="preserve">FAQ - What happens to my tax rate if I lose the small business deduction?</t>
  </si>
  <si>
    <t xml:space="preserve">The active income that would have been taxed at the low combined rate of about 12.2% in Ontario is instead taxed at the general rate</t>
  </si>
  <si>
    <t xml:space="preserve">The active income that would have been taxed at the low combined rate of about 11.2% in Ontario is instead taxed at the general rate</t>
  </si>
  <si>
    <t xml:space="preserve">FAQ schema - What happens to my tax rate if I lose the small business deduction?</t>
  </si>
  <si>
    <t xml:space="preserve">"text":"The active income that would have been taxed at the low combined rate of about 12.2% in Ontario is instead taxed at the general rate</t>
  </si>
  <si>
    <t xml:space="preserve">"text":"The active income that would have been taxed at the low combined rate of about 11.2% in Ontario is instead taxed at the general rate</t>
  </si>
  <si>
    <t xml:space="preserve">https://gondaliyacpa.ca/small-business-accounting-services/</t>
  </si>
  <si>
    <t xml:space="preserve">2026 rate table - row to June 30, 2026</t>
  </si>
  <si>
    <t xml:space="preserve">First $500,000 active income (to June 30, 2026)12.2%3.2% provincial + 9% federal, with the Small Business Deduction</t>
  </si>
  <si>
    <t xml:space="preserve">Both 12.2% and 3.2% are tied to income to June 30, 2026; leave. In _elementor_data this row is &lt;tr class="dp-hl"&gt; (highlighted); Sharad may want the highlight moved to the July 1, 2026 row.</t>
  </si>
  <si>
    <t xml:space="preserve">&lt;td&gt;First $500,000 active income (to June 30, 2026)&lt;/td&gt;&lt;td&gt;12.2%&lt;/td&gt;&lt;td&gt;3.2% provincial + 9% federal, with the Small Business Deduction&lt;/td&gt;</t>
  </si>
  <si>
    <t xml:space="preserve">FAQ - What tax rate does my small corporation pay in Ontario?</t>
  </si>
  <si>
    <t xml:space="preserve">R1 + R2</t>
  </si>
  <si>
    <t xml:space="preserve">A qualifying Ontario CCPC pays a combined 12.2% on the first $500,000 of active business income, made up of 3.2% provincial and 9% federal.</t>
  </si>
  <si>
    <t xml:space="preserve">A qualifying Ontario CCPC pays a combined 11.2% (12.2% before July 1, 2026) on the first $500,000 of active business income, made up of 2.2% (3.2% before July 1, 2026) provincial and 9% federal.</t>
  </si>
  <si>
    <t xml:space="preserve">Stated as the current rate. The next sentence ('On July 1, 2026 the provincial rate drops to 2.2%, bringing the combined rate to 11.2%.') becomes redundant after this change; Sharad may want to delete it.</t>
  </si>
  <si>
    <t xml:space="preserve">FAQ schema - What tax rate does my small corporation pay in Ontario?</t>
  </si>
  <si>
    <t xml:space="preserve">JSON-LD copy, in _elementor_data only. Same redundant-next-sentence note as the visible FAQ.</t>
  </si>
  <si>
    <t xml:space="preserve">"text":"A qualifying Ontario CCPC pays a combined 12.2% on the first $500,000 of active business income, made up of 3.2% provincial and 9% federal.</t>
  </si>
  <si>
    <t xml:space="preserve">"text":"A qualifying Ontario CCPC pays a combined 11.2% (12.2% before July 1, 2026) on the first $500,000 of active business income, made up of 2.2% (3.2% before July 1, 2026) provincial and 9% federal.</t>
  </si>
  <si>
    <t xml:space="preserve">Title</t>
  </si>
  <si>
    <t xml:space="preserve">Rows to review</t>
  </si>
  <si>
    <t xml:space="preserve">Rows to change</t>
  </si>
  <si>
    <t xml:space="preserve">Accounting and Tax Services for Masonry Contractors</t>
  </si>
  <si>
    <t xml:space="preserve">Other rate mentions (tax planning, incorporation, FAQs and JSON-LD) already show 11.2%. '$600,000 file' in the T2 card is a revenue example, not the small business limit - no change.</t>
  </si>
  <si>
    <t xml:space="preserve">How Fire Protection Contractors in Canada Can Reduce Taxes and Improve Cash Flow With Strategic Tax Planning</t>
  </si>
  <si>
    <t xml:space="preserve">Post already reflects the July 1, 2026 change (2.2% / 11.2% / blended 11.7% current; 12.2% only as the former rate). No changes needed. No 3.2%, 0.122/0.032 or $600,000/$600K found. Fetched as post_type "posts".</t>
  </si>
  <si>
    <t xml:space="preserve">Accounting and Tax Services for Millwork Companies</t>
  </si>
  <si>
    <t xml:space="preserve">Other rate mentions (service cards, FAQs and JSON-LD) already show 11.2%. No 3.2%, 0.122/0.032, $600,000/$600K or 12.2%-derived dollar figures found.</t>
  </si>
  <si>
    <t xml:space="preserve">Accounting and Tax Services for Landscaping Companies</t>
  </si>
  <si>
    <t xml:space="preserve">Accounting and Tax Services for Snow Removal Businesses</t>
  </si>
  <si>
    <t xml:space="preserve">Accounting and Tax Services for Lawn Care Businesses</t>
  </si>
  <si>
    <t xml:space="preserve">Other rate mentions (service cards, FAQs and JSON-LD) already show 11.2%. No 3.2%, 0.122/0.032 or 12.2%-derived dollar figures found. '$600,000 operation' in the incorporation card is a business-sale value, not the small business limit - no change.</t>
  </si>
  <si>
    <t xml:space="preserve">Clothing Store Year-End Accounting Checklist: How to Prepare Your Retail Business for Corporate Tax Filing in Canada</t>
  </si>
  <si>
    <t xml:space="preserve">Accounting and Tax Services for Garage Door Companies</t>
  </si>
  <si>
    <t xml:space="preserve">Accounting and Tax Services for Insulation Contractors</t>
  </si>
  <si>
    <t xml:space="preserve">Other rate mentions (service cards, FAQs and JSON-LD) already show 11.2%. No 3.2%, 0.122/0.032 or 12.2%-derived dollar figures found. No $600,000/$600K found.</t>
  </si>
  <si>
    <t xml:space="preserve">Accounting and Tax Services for Fire Protection Contractors</t>
  </si>
  <si>
    <t xml:space="preserve">Other rate mentions (service cards, FAQs and JSON-LD) already show 11.2%. No 3.2%, 0.122/0.032 or 12.2%-derived dollar figures found. No $600,000/$600K found. Case-study '$27,000 a year' saving is not shown as computed from 12.2% - left as is.</t>
  </si>
  <si>
    <t xml:space="preserve">Accounting and Tax Services for Clothing Stores</t>
  </si>
  <si>
    <t xml:space="preserve">No JSON-LD or meta occurrences; no R4 dollar figures computed from 12.2%.</t>
  </si>
  <si>
    <t xml:space="preserve">Accounting and Tax Services for Shoe Stores</t>
  </si>
  <si>
    <t xml:space="preserve">Accounting and Tax Services for Driving Schools</t>
  </si>
  <si>
    <t xml:space="preserve">Accounting and Tax Services for Dance Schools</t>
  </si>
  <si>
    <t xml:space="preserve">Accounting and Tax Services for Laundry Businesses</t>
  </si>
  <si>
    <t xml:space="preserve">Accounting and Tax Services for Nail Salons</t>
  </si>
  <si>
    <t xml:space="preserve">The '$16,000' annual tax saving in the case study is not shown as computed from 12.2%; left as is (no R4). No JSON-LD or meta occurrences.</t>
  </si>
  <si>
    <t xml:space="preserve">Accounting and Tax Services for Barbershops</t>
  </si>
  <si>
    <t xml:space="preserve">Accounting and Tax Services for Gyms</t>
  </si>
  <si>
    <t xml:space="preserve">Accounting and Tax Services for Used-Car Dealerships</t>
  </si>
  <si>
    <t xml:space="preserve">One '$600,000' occurrence refers to inventory rotated on a dealer lot (floor-plan example), not the small business limit; not R7, left as is. No JSON-LD or meta occurrences.</t>
  </si>
  <si>
    <t xml:space="preserve">Accounting and Tax Services for Car Rental Businesses</t>
  </si>
  <si>
    <t xml:space="preserve">Year-End Bonus Calculator: Cut Income to the $500,000 SBD Limit</t>
  </si>
  <si>
    <t xml:space="preserve">Post already reflects the July 1, 2026 change (11.2% current; 12.2%/3.2% only as former rates). All occurrences R3, no changes needed. No 0.122/0.032, $600,000/$600K or 12.2% in JSON-LD. Note for Sharad: calculator uses a flat SBD = 0.112 for every year end (no day-proration for years straddling July 1, 2026, e.g. a 31 December 2026 year end would be ~11.70% blended); not a 0.122 occurrence, flagged only.</t>
  </si>
  <si>
    <t xml:space="preserve">Accounting and Tax Services for Moving Companies</t>
  </si>
  <si>
    <t xml:space="preserve">All 12.2% occurrences are current-rate R1. No 3.2%, 0.122/0.032, $600,000/$600K or 12.2%-derived dollar figures found. No 12.2% in this page's JSON-LD.</t>
  </si>
  <si>
    <t xml:space="preserve">Accounting and Tax Services for Immigration Consultants</t>
  </si>
  <si>
    <t xml:space="preserve">Accounting and Tax Services for Notaries</t>
  </si>
  <si>
    <t xml:space="preserve">All 12.2% occurrences are current-rate R1. No 3.2%, 0.122/0.032, $600,000/$600K or 12.2%-derived dollar figures found. No 12.2% in this page's JSON-LD. The case-study saving ($16,800) is not shown as computed from 12.2%; not recalculated.</t>
  </si>
  <si>
    <t xml:space="preserve">Accounting and Tax Services for Tire Shops</t>
  </si>
  <si>
    <t xml:space="preserve">All 12.2% occurrences are current-rate R1. No 3.2%, 0.122/0.032, $600,000/$600K or 12.2%-derived dollar figures found. No 12.2% in this page's JSON-LD. The case-study saving ($23,600) is not shown as computed from 12.2%; not recalculated.</t>
  </si>
  <si>
    <t xml:space="preserve">Accounting and Tax Services for Towing Companies</t>
  </si>
  <si>
    <t xml:space="preserve">Accounting and Tax Services for Auto Repair Shops</t>
  </si>
  <si>
    <t xml:space="preserve">All 12.2% occurrences are current-rate R1. No 3.2%, 0.122/0.032, $600,000/$600K or 12.2%-derived dollar figures found. No 12.2% in this page's JSON-LD. '$600,000 sales year' (repair-order revenue example) is not the small business limit - no change.</t>
  </si>
  <si>
    <t xml:space="preserve">Accounting and Tax Services for Staffing Agencies</t>
  </si>
  <si>
    <t xml:space="preserve">Accounting and Tax Services for Personal Support Worker Businesses</t>
  </si>
  <si>
    <t xml:space="preserve">All 12.2% occurrences are current-rate R1. No 3.2%, 0.122/0.032, $600,000/$600K or 12.2%-derived dollar figures found. No 12.2% in this page's JSON-LD. '$600,000 wage bill' (WSIB premium example) is not the small business limit - no change.</t>
  </si>
  <si>
    <t xml:space="preserve">Passive Income SBD Grind Calculator for Ontario CCPCs</t>
  </si>
  <si>
    <t xml:space="preserve">Post already reflects the July 1, 2026 change (11.2% current, calendar-2026 day-weighted 0.02696 in code; 12.2%/3.2% only as former rates). All occurrences R3, no changes needed. No 0.122/0.032 or $600,000/$600K found.</t>
  </si>
  <si>
    <t xml:space="preserve">Accounting and Tax Services for Osteopaths</t>
  </si>
  <si>
    <t xml:space="preserve">All 12.2% occurrences are in case-study cards; no JSON-LD, meta or calculator occurrences. No 3.2%, 0.122, 0.032 or $600K found.</t>
  </si>
  <si>
    <t xml:space="preserve">Accounting and Tax Services for Specialist Physicians</t>
  </si>
  <si>
    <t xml:space="preserve">Accounting and Tax Services for Speech-Language Pathologists</t>
  </si>
  <si>
    <t xml:space="preserve">Accounting and Tax Services for Dietitians</t>
  </si>
  <si>
    <t xml:space="preserve">Accounting and Tax Services for Nutritionists</t>
  </si>
  <si>
    <t xml:space="preserve">Accounting and Tax Services for Occupational Therapists</t>
  </si>
  <si>
    <t xml:space="preserve">Accounting and Tax Services for Optometrists</t>
  </si>
  <si>
    <t xml:space="preserve">Accounting and Tax Services for Nurses</t>
  </si>
  <si>
    <t xml:space="preserve">Accounting and Tax Services for Family Doctors</t>
  </si>
  <si>
    <t xml:space="preserve">Accounting and Tax Services for House Flippers</t>
  </si>
  <si>
    <t xml:space="preserve">Accounting and Tax Services for Commercial Landlords</t>
  </si>
  <si>
    <t xml:space="preserve">Only one 12.2% occurrence, in a case-study card; no JSON-LD, meta or calculator occurrences. No 3.2%, 0.122, 0.032 or $600K. The same card says 'Saved $22,800 a year at the corporate small-business rate' - base amount not shown, so not clearly computed from 12.2%; Sharad may want to confirm it.</t>
  </si>
  <si>
    <t xml:space="preserve">Accounting and Tax Services for Parking Lot Businesses</t>
  </si>
  <si>
    <t xml:space="preserve">Only one 12.2% occurrence, in a case-study card; no JSON-LD, meta or calculator occurrences. No 3.2%, 0.122, 0.032 or $600K.</t>
  </si>
  <si>
    <t xml:space="preserve">Accounting and Tax Services for Walk-In Clinics</t>
  </si>
  <si>
    <t xml:space="preserve">Only one 12.2% occurrence, in a case-study card; no JSON-LD, meta or calculator occurrences. No 3.2%, 0.122, 0.032 or $600K. The same card's 'Saved $31,800 in tax by restoring the small business deduction' has no stated base, so it is not clearly computed from 12.2%; Sharad may want to confirm it.</t>
  </si>
  <si>
    <t xml:space="preserve">Accounting and Tax Services for Plumbers</t>
  </si>
  <si>
    <t xml:space="preserve">Only one 12.2% occurrence, in a case-study card; no JSON-LD, meta or calculator occurrences. No 3.2%, 0.122, 0.032 or $600K. 'Saved $23,600 per year in combined corporate and personal tax' has no stated base; not clearly computed from 12.2%.</t>
  </si>
  <si>
    <t xml:space="preserve">Accounting and Tax Services for Incorporated Businesses</t>
  </si>
  <si>
    <t xml:space="preserve">Only one 12.2% occurrence, in a case-study result list; no JSON-LD, meta or calculator occurrences. No 3.2%, 0.122, 0.032 or $600K. 'Saved $21,300 per year' in the same card has no stated base; not clearly computed from 12.2%.</t>
  </si>
  <si>
    <t xml:space="preserve">Accounting and Tax Services for Side-Hustle Businesses</t>
  </si>
  <si>
    <t xml:space="preserve">Only one 12.2% occurrence, in a case-study result list; no JSON-LD, meta or calculator occurrences. No 3.2%, 0.122, 0.032 or $600K. 'Saved $11,400 in the first year' has no stated base; not clearly computed from 12.2%.</t>
  </si>
  <si>
    <t xml:space="preserve">Accounting and Tax Services for Small Businesses</t>
  </si>
  <si>
    <t xml:space="preserve">Both occurrences are in one case-study card; no JSON-LD, meta or calculator occurrences. No 3.2%, 0.122, 0.032 or $600K. Other savings figures on the page ($8,200 etc.) have no stated base and are not clearly computed from 12.2%.</t>
  </si>
  <si>
    <t xml:space="preserve">Should I Buy Assets Personally or Through My Corporation?</t>
  </si>
  <si>
    <t xml:space="preserve">Elementor page: the live source is the _elementor_data post meta (widget 'html'); post_content is a stripped fallback copy. Visible 'before' strings are exact, unique substrings of post_content and also occur in the decoded _elementor_data html; the JSON-LD FAQPage copy exists only in _elementor_data (decoded), and its 'before' strings are verified unique there. Apply the edits to _elementor_data, not just post_content. No 3.2%, 0.122, 0.032 or $600K.</t>
  </si>
  <si>
    <t xml:space="preserve">Medical Professional Corporations (MPC) — Passive Income &amp; TOSI Rules</t>
  </si>
  <si>
    <t xml:space="preserve">Small Business Accounting Services</t>
  </si>
  <si>
    <t xml:space="preserve">Elementor page: the live source is the _elementor_data post meta (widget 'html'); post_content is a stripped fallback copy. Visible 'before' strings are exact, unique substrings of post_content and also occur in the decoded _elementor_data html; the JSON-LD FAQPage copy exists only in _elementor_data (decoded), and its 'before' strings are verified unique there. Apply the edits to _elementor_data, not just post_content. No 0.122, 0.032 or $600K.</t>
  </si>
  <si>
    <t xml:space="preserve">Total</t>
  </si>
  <si>
    <t xml:space="preserve">Where the figure appears</t>
  </si>
  <si>
    <t xml:space="preserve">Action</t>
  </si>
  <si>
    <t xml:space="preserve">12.2% stated as the current combined Ontario small business rate</t>
  </si>
  <si>
    <t xml:space="preserve">Change to 11.2% and add "(12.2% before July 1, 2026)" once per page</t>
  </si>
  <si>
    <t xml:space="preserve">R2</t>
  </si>
  <si>
    <t xml:space="preserve">3.2% stated as the current Ontario small business rate</t>
  </si>
  <si>
    <t xml:space="preserve">Change to 2.2% and add "(3.2% before July 1, 2026)" once per page</t>
  </si>
  <si>
    <t xml:space="preserve">12.2% or 3.2% tied to 2025 or earlier, or to income before July 1, 2026</t>
  </si>
  <si>
    <t xml:space="preserve">Leave as is</t>
  </si>
  <si>
    <t xml:space="preserve">Dollar figure worked out from 12.2%</t>
  </si>
  <si>
    <t xml:space="preserve">Recalculate at 11.2%; Sharad confirms the figure</t>
  </si>
  <si>
    <t xml:space="preserve">R5</t>
  </si>
  <si>
    <t xml:space="preserve">Example for a December 31, 2026 year-end</t>
  </si>
  <si>
    <t xml:space="preserve">Use the blended 11.70%</t>
  </si>
  <si>
    <t xml:space="preserve">R6</t>
  </si>
  <si>
    <t xml:space="preserve">Calculator code with 0.122 or 0.032</t>
  </si>
  <si>
    <t xml:space="preserve">Replace with the day-prorated logic from the page 7 calculator</t>
  </si>
  <si>
    <t xml:space="preserve">R7</t>
  </si>
  <si>
    <t xml:space="preserve">Small business limit shown as $600,000</t>
  </si>
  <si>
    <t xml:space="preserve">Change to $500,000</t>
  </si>
  <si>
    <t xml:space="preserve">Rate correction batch 2 of about 8 (50 URLs), prepared October 23, 2026 for Sharad's review. Source: Sharad's Existing Page Fixes and Rate Correction Rules (PSB package, Oct 3, 2026).</t>
  </si>
  <si>
    <t xml:space="preserve">How to review: in the Before-After tab, choose Approve, Change or Reject in the yellow 'Sharad decision' column. Use 'Sharad comment' for any change.</t>
  </si>
  <si>
    <t xml:space="preserve">Example: decision 'Change', comment 'Use 11.2% but drop the (12.2% before July 1, 2026) note here'.</t>
  </si>
  <si>
    <t xml:space="preserve">Grey rows are R3 (historical figures): proposed to stay as they are.</t>
  </si>
  <si>
    <t xml:space="preserve">Every visible FAQ change has a matching JSON-LD row so the schema stays identical to the page.</t>
  </si>
  <si>
    <t xml:space="preserve">Nothing on the website changes until Sharad approves the batch.</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</si>
</sst>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b val="true"/>
      <sz val="10"/>
      <name val="Arial"/>
      <family val="0"/>
      <charset val="1"/>
    </font>
  </fonts>
  <fills count="5">
    <fill>
      <patternFill patternType="none"/>
    </fill>
    <fill>
      <patternFill patternType="gray125"/>
    </fill>
    <fill>
      <patternFill patternType="solid">
        <fgColor rgb="FF0F2A4A"/>
        <bgColor rgb="FF333333"/>
      </patternFill>
    </fill>
    <fill>
      <patternFill patternType="solid">
        <fgColor rgb="FFFFFF00"/>
        <bgColor rgb="FFFFFF00"/>
      </patternFill>
    </fill>
    <fill>
      <patternFill patternType="solid">
        <fgColor rgb="FFEEEEEE"/>
        <bgColor rgb="FFFFFFFF"/>
      </patternFill>
    </fill>
  </fills>
  <borders count="2">
    <border diagonalUp="false" diagonalDown="false">
      <left/>
      <right/>
      <top/>
      <bottom/>
      <diagonal/>
    </border>
    <border diagonalUp="false" diagonalDown="false">
      <left style="thin">
        <color rgb="FF9AA5B1"/>
      </left>
      <right style="thin">
        <color rgb="FF9AA5B1"/>
      </right>
      <top style="thin">
        <color rgb="FF9AA5B1"/>
      </top>
      <bottom style="thin">
        <color rgb="FF9AA5B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0F2A4A"/>
          <bgColor rgb="FF000000"/>
        </patternFill>
      </fill>
    </dxf>
    <dxf>
      <fill>
        <patternFill patternType="solid">
          <fgColor rgb="FFEEEEEE"/>
          <bgColor rgb="FF000000"/>
        </patternFill>
      </fill>
    </dxf>
    <dxf>
      <fill>
        <patternFill patternType="solid">
          <bgColor rgb="FF000000"/>
        </patternFill>
      </fill>
    </dxf>
    <dxf>
      <fill>
        <patternFill patternType="solid">
          <fgColor rgb="FFFFFFFF"/>
          <bgColor rgb="FF000000"/>
        </patternFill>
      </fill>
    </dxf>
    <dxf>
      <fill>
        <patternFill patternType="solid">
          <fgColor rgb="FFFFFF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EEEEE"/>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AA5B1"/>
      <rgbColor rgb="FF0F2A4A"/>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9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8"/>
    <col collapsed="false" customWidth="true" hidden="false" outlineLevel="0" max="3" min="3" style="0" width="9"/>
    <col collapsed="false" customWidth="true" hidden="false" outlineLevel="0" max="4" min="4" style="0" width="11"/>
    <col collapsed="false" customWidth="true" hidden="false" outlineLevel="0" max="5" min="5" style="0" width="16"/>
    <col collapsed="false" customWidth="true" hidden="false" outlineLevel="0" max="6" min="6" style="0" width="6"/>
    <col collapsed="false" customWidth="true" hidden="false" outlineLevel="0" max="8" min="7" style="0" width="60"/>
    <col collapsed="false" customWidth="true" hidden="false" outlineLevel="0" max="9" min="9" style="0" width="30"/>
    <col collapsed="false" customWidth="true" hidden="false" outlineLevel="0" max="10" min="10" style="0" width="14"/>
    <col collapsed="false" customWidth="true" hidden="false" outlineLevel="0" max="11" min="11" style="0" width="30"/>
    <col collapsed="false" customWidth="true" hidden="true" outlineLevel="0" max="13" min="12" style="0" width="40"/>
  </cols>
  <sheetData>
    <row r="1" customFormat="false" ht="23.8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row>
    <row r="2" customFormat="false" ht="57.45" hidden="false" customHeight="false" outlineLevel="0" collapsed="false">
      <c r="A2" s="2" t="n">
        <v>1</v>
      </c>
      <c r="B2" s="2" t="s">
        <v>13</v>
      </c>
      <c r="C2" s="2" t="n">
        <v>50424</v>
      </c>
      <c r="D2" s="2" t="s">
        <v>14</v>
      </c>
      <c r="E2" s="2" t="s">
        <v>15</v>
      </c>
      <c r="F2" s="2" t="s">
        <v>16</v>
      </c>
      <c r="G2" s="2" t="s">
        <v>17</v>
      </c>
      <c r="H2" s="2" t="s">
        <v>18</v>
      </c>
      <c r="I2" s="2" t="s">
        <v>19</v>
      </c>
      <c r="J2" s="3"/>
      <c r="K2" s="3"/>
      <c r="L2" s="2" t="s">
        <v>17</v>
      </c>
      <c r="M2" s="2" t="s">
        <v>18</v>
      </c>
    </row>
    <row r="3" customFormat="false" ht="57.45" hidden="false" customHeight="false" outlineLevel="0" collapsed="false">
      <c r="A3" s="2" t="n">
        <v>2</v>
      </c>
      <c r="B3" s="2" t="s">
        <v>13</v>
      </c>
      <c r="C3" s="2" t="n">
        <v>50424</v>
      </c>
      <c r="D3" s="2" t="s">
        <v>14</v>
      </c>
      <c r="E3" s="2" t="s">
        <v>20</v>
      </c>
      <c r="F3" s="2" t="s">
        <v>16</v>
      </c>
      <c r="G3" s="2" t="s">
        <v>21</v>
      </c>
      <c r="H3" s="2" t="s">
        <v>22</v>
      </c>
      <c r="I3" s="2" t="s">
        <v>19</v>
      </c>
      <c r="J3" s="3"/>
      <c r="K3" s="3"/>
      <c r="L3" s="2" t="s">
        <v>23</v>
      </c>
      <c r="M3" s="2" t="s">
        <v>24</v>
      </c>
    </row>
    <row r="4" customFormat="false" ht="46.25" hidden="false" customHeight="false" outlineLevel="0" collapsed="false">
      <c r="A4" s="4" t="n">
        <v>3</v>
      </c>
      <c r="B4" s="4" t="s">
        <v>25</v>
      </c>
      <c r="C4" s="4" t="n">
        <v>50370</v>
      </c>
      <c r="D4" s="4" t="s">
        <v>14</v>
      </c>
      <c r="E4" s="4" t="s">
        <v>26</v>
      </c>
      <c r="F4" s="4" t="s">
        <v>27</v>
      </c>
      <c r="G4" s="4" t="s">
        <v>28</v>
      </c>
      <c r="H4" s="4" t="s">
        <v>28</v>
      </c>
      <c r="I4" s="4" t="s">
        <v>29</v>
      </c>
      <c r="J4" s="3"/>
      <c r="K4" s="3"/>
      <c r="L4" s="2" t="s">
        <v>30</v>
      </c>
      <c r="M4" s="2" t="s">
        <v>30</v>
      </c>
    </row>
    <row r="5" customFormat="false" ht="57.45" hidden="false" customHeight="false" outlineLevel="0" collapsed="false">
      <c r="A5" s="2" t="n">
        <v>4</v>
      </c>
      <c r="B5" s="2" t="s">
        <v>31</v>
      </c>
      <c r="C5" s="2" t="n">
        <v>50380</v>
      </c>
      <c r="D5" s="2" t="s">
        <v>14</v>
      </c>
      <c r="E5" s="2" t="s">
        <v>15</v>
      </c>
      <c r="F5" s="2" t="s">
        <v>16</v>
      </c>
      <c r="G5" s="2" t="s">
        <v>32</v>
      </c>
      <c r="H5" s="2" t="s">
        <v>33</v>
      </c>
      <c r="I5" s="2" t="s">
        <v>19</v>
      </c>
      <c r="J5" s="3"/>
      <c r="K5" s="3"/>
      <c r="L5" s="2" t="s">
        <v>32</v>
      </c>
      <c r="M5" s="2" t="s">
        <v>33</v>
      </c>
    </row>
    <row r="6" customFormat="false" ht="57.45" hidden="false" customHeight="false" outlineLevel="0" collapsed="false">
      <c r="A6" s="2" t="n">
        <v>5</v>
      </c>
      <c r="B6" s="2" t="s">
        <v>31</v>
      </c>
      <c r="C6" s="2" t="n">
        <v>50380</v>
      </c>
      <c r="D6" s="2" t="s">
        <v>14</v>
      </c>
      <c r="E6" s="2" t="s">
        <v>20</v>
      </c>
      <c r="F6" s="2" t="s">
        <v>16</v>
      </c>
      <c r="G6" s="2" t="s">
        <v>34</v>
      </c>
      <c r="H6" s="2" t="s">
        <v>35</v>
      </c>
      <c r="I6" s="2" t="s">
        <v>19</v>
      </c>
      <c r="J6" s="3"/>
      <c r="K6" s="3"/>
      <c r="L6" s="2" t="s">
        <v>36</v>
      </c>
      <c r="M6" s="2" t="s">
        <v>37</v>
      </c>
    </row>
    <row r="7" customFormat="false" ht="57.45" hidden="false" customHeight="false" outlineLevel="0" collapsed="false">
      <c r="A7" s="2" t="n">
        <v>6</v>
      </c>
      <c r="B7" s="2" t="s">
        <v>38</v>
      </c>
      <c r="C7" s="2" t="n">
        <v>50379</v>
      </c>
      <c r="D7" s="2" t="s">
        <v>14</v>
      </c>
      <c r="E7" s="2" t="s">
        <v>15</v>
      </c>
      <c r="F7" s="2" t="s">
        <v>16</v>
      </c>
      <c r="G7" s="2" t="s">
        <v>39</v>
      </c>
      <c r="H7" s="2" t="s">
        <v>40</v>
      </c>
      <c r="I7" s="2" t="s">
        <v>19</v>
      </c>
      <c r="J7" s="3"/>
      <c r="K7" s="3"/>
      <c r="L7" s="2" t="s">
        <v>39</v>
      </c>
      <c r="M7" s="2" t="s">
        <v>40</v>
      </c>
    </row>
    <row r="8" customFormat="false" ht="57.45" hidden="false" customHeight="false" outlineLevel="0" collapsed="false">
      <c r="A8" s="2" t="n">
        <v>7</v>
      </c>
      <c r="B8" s="2" t="s">
        <v>38</v>
      </c>
      <c r="C8" s="2" t="n">
        <v>50379</v>
      </c>
      <c r="D8" s="2" t="s">
        <v>14</v>
      </c>
      <c r="E8" s="2" t="s">
        <v>20</v>
      </c>
      <c r="F8" s="2" t="s">
        <v>16</v>
      </c>
      <c r="G8" s="2" t="s">
        <v>21</v>
      </c>
      <c r="H8" s="2" t="s">
        <v>22</v>
      </c>
      <c r="I8" s="2" t="s">
        <v>19</v>
      </c>
      <c r="J8" s="3"/>
      <c r="K8" s="3"/>
      <c r="L8" s="2" t="s">
        <v>23</v>
      </c>
      <c r="M8" s="2" t="s">
        <v>24</v>
      </c>
    </row>
    <row r="9" customFormat="false" ht="68.65" hidden="false" customHeight="false" outlineLevel="0" collapsed="false">
      <c r="A9" s="2" t="n">
        <v>8</v>
      </c>
      <c r="B9" s="2" t="s">
        <v>41</v>
      </c>
      <c r="C9" s="2" t="n">
        <v>50377</v>
      </c>
      <c r="D9" s="2" t="s">
        <v>14</v>
      </c>
      <c r="E9" s="2" t="s">
        <v>15</v>
      </c>
      <c r="F9" s="2" t="s">
        <v>16</v>
      </c>
      <c r="G9" s="2" t="s">
        <v>42</v>
      </c>
      <c r="H9" s="2" t="s">
        <v>43</v>
      </c>
      <c r="I9" s="2" t="s">
        <v>19</v>
      </c>
      <c r="J9" s="3"/>
      <c r="K9" s="3"/>
      <c r="L9" s="2" t="s">
        <v>42</v>
      </c>
      <c r="M9" s="2" t="s">
        <v>43</v>
      </c>
    </row>
    <row r="10" customFormat="false" ht="57.45" hidden="false" customHeight="false" outlineLevel="0" collapsed="false">
      <c r="A10" s="2" t="n">
        <v>9</v>
      </c>
      <c r="B10" s="2" t="s">
        <v>41</v>
      </c>
      <c r="C10" s="2" t="n">
        <v>50377</v>
      </c>
      <c r="D10" s="2" t="s">
        <v>14</v>
      </c>
      <c r="E10" s="2" t="s">
        <v>20</v>
      </c>
      <c r="F10" s="2" t="s">
        <v>16</v>
      </c>
      <c r="G10" s="2" t="s">
        <v>34</v>
      </c>
      <c r="H10" s="2" t="s">
        <v>35</v>
      </c>
      <c r="I10" s="2" t="s">
        <v>19</v>
      </c>
      <c r="J10" s="3"/>
      <c r="K10" s="3"/>
      <c r="L10" s="2" t="s">
        <v>36</v>
      </c>
      <c r="M10" s="2" t="s">
        <v>37</v>
      </c>
    </row>
    <row r="11" customFormat="false" ht="57.45" hidden="false" customHeight="false" outlineLevel="0" collapsed="false">
      <c r="A11" s="2" t="n">
        <v>10</v>
      </c>
      <c r="B11" s="2" t="s">
        <v>44</v>
      </c>
      <c r="C11" s="2" t="n">
        <v>50375</v>
      </c>
      <c r="D11" s="2" t="s">
        <v>14</v>
      </c>
      <c r="E11" s="2" t="s">
        <v>20</v>
      </c>
      <c r="F11" s="2" t="s">
        <v>16</v>
      </c>
      <c r="G11" s="2" t="s">
        <v>45</v>
      </c>
      <c r="H11" s="2" t="s">
        <v>46</v>
      </c>
      <c r="I11" s="2" t="s">
        <v>19</v>
      </c>
      <c r="J11" s="3"/>
      <c r="K11" s="3"/>
      <c r="L11" s="2" t="s">
        <v>47</v>
      </c>
      <c r="M11" s="2" t="s">
        <v>48</v>
      </c>
    </row>
    <row r="12" customFormat="false" ht="35.05" hidden="false" customHeight="false" outlineLevel="0" collapsed="false">
      <c r="A12" s="4" t="n">
        <v>11</v>
      </c>
      <c r="B12" s="4" t="s">
        <v>49</v>
      </c>
      <c r="C12" s="4" t="n">
        <v>50309</v>
      </c>
      <c r="D12" s="4" t="s">
        <v>14</v>
      </c>
      <c r="E12" s="4" t="s">
        <v>50</v>
      </c>
      <c r="F12" s="4" t="s">
        <v>27</v>
      </c>
      <c r="G12" s="4" t="s">
        <v>51</v>
      </c>
      <c r="H12" s="4" t="s">
        <v>51</v>
      </c>
      <c r="I12" s="4" t="s">
        <v>29</v>
      </c>
      <c r="J12" s="3"/>
      <c r="K12" s="3"/>
      <c r="L12" s="2" t="s">
        <v>51</v>
      </c>
      <c r="M12" s="2" t="s">
        <v>51</v>
      </c>
    </row>
    <row r="13" customFormat="false" ht="35.05" hidden="false" customHeight="false" outlineLevel="0" collapsed="false">
      <c r="A13" s="4" t="n">
        <v>12</v>
      </c>
      <c r="B13" s="4" t="s">
        <v>49</v>
      </c>
      <c r="C13" s="4" t="n">
        <v>50309</v>
      </c>
      <c r="D13" s="4" t="s">
        <v>14</v>
      </c>
      <c r="E13" s="4" t="s">
        <v>52</v>
      </c>
      <c r="F13" s="4" t="s">
        <v>27</v>
      </c>
      <c r="G13" s="4" t="s">
        <v>53</v>
      </c>
      <c r="H13" s="4" t="s">
        <v>53</v>
      </c>
      <c r="I13" s="4" t="s">
        <v>29</v>
      </c>
      <c r="J13" s="3"/>
      <c r="K13" s="3"/>
      <c r="L13" s="2" t="s">
        <v>53</v>
      </c>
      <c r="M13" s="2" t="s">
        <v>53</v>
      </c>
    </row>
    <row r="14" customFormat="false" ht="57.45" hidden="false" customHeight="false" outlineLevel="0" collapsed="false">
      <c r="A14" s="2" t="n">
        <v>13</v>
      </c>
      <c r="B14" s="2" t="s">
        <v>54</v>
      </c>
      <c r="C14" s="2" t="n">
        <v>50247</v>
      </c>
      <c r="D14" s="2" t="s">
        <v>14</v>
      </c>
      <c r="E14" s="2" t="s">
        <v>15</v>
      </c>
      <c r="F14" s="2" t="s">
        <v>16</v>
      </c>
      <c r="G14" s="2" t="s">
        <v>55</v>
      </c>
      <c r="H14" s="2" t="s">
        <v>56</v>
      </c>
      <c r="I14" s="2" t="s">
        <v>19</v>
      </c>
      <c r="J14" s="3"/>
      <c r="K14" s="3"/>
      <c r="L14" s="2" t="s">
        <v>55</v>
      </c>
      <c r="M14" s="2" t="s">
        <v>56</v>
      </c>
    </row>
    <row r="15" customFormat="false" ht="57.45" hidden="false" customHeight="false" outlineLevel="0" collapsed="false">
      <c r="A15" s="2" t="n">
        <v>14</v>
      </c>
      <c r="B15" s="2" t="s">
        <v>54</v>
      </c>
      <c r="C15" s="2" t="n">
        <v>50247</v>
      </c>
      <c r="D15" s="2" t="s">
        <v>14</v>
      </c>
      <c r="E15" s="2" t="s">
        <v>20</v>
      </c>
      <c r="F15" s="2" t="s">
        <v>16</v>
      </c>
      <c r="G15" s="2" t="s">
        <v>34</v>
      </c>
      <c r="H15" s="2" t="s">
        <v>35</v>
      </c>
      <c r="I15" s="2" t="s">
        <v>19</v>
      </c>
      <c r="J15" s="3"/>
      <c r="K15" s="3"/>
      <c r="L15" s="2" t="s">
        <v>36</v>
      </c>
      <c r="M15" s="2" t="s">
        <v>37</v>
      </c>
    </row>
    <row r="16" customFormat="false" ht="57.45" hidden="false" customHeight="false" outlineLevel="0" collapsed="false">
      <c r="A16" s="2" t="n">
        <v>15</v>
      </c>
      <c r="B16" s="2" t="s">
        <v>57</v>
      </c>
      <c r="C16" s="2" t="n">
        <v>50245</v>
      </c>
      <c r="D16" s="2" t="s">
        <v>14</v>
      </c>
      <c r="E16" s="2" t="s">
        <v>15</v>
      </c>
      <c r="F16" s="2" t="s">
        <v>16</v>
      </c>
      <c r="G16" s="2" t="s">
        <v>58</v>
      </c>
      <c r="H16" s="2" t="s">
        <v>59</v>
      </c>
      <c r="I16" s="2" t="s">
        <v>19</v>
      </c>
      <c r="J16" s="3"/>
      <c r="K16" s="3"/>
      <c r="L16" s="2" t="s">
        <v>58</v>
      </c>
      <c r="M16" s="2" t="s">
        <v>59</v>
      </c>
    </row>
    <row r="17" customFormat="false" ht="68.65" hidden="false" customHeight="false" outlineLevel="0" collapsed="false">
      <c r="A17" s="2" t="n">
        <v>16</v>
      </c>
      <c r="B17" s="2" t="s">
        <v>60</v>
      </c>
      <c r="C17" s="2" t="n">
        <v>50243</v>
      </c>
      <c r="D17" s="2" t="s">
        <v>14</v>
      </c>
      <c r="E17" s="2" t="s">
        <v>15</v>
      </c>
      <c r="F17" s="2" t="s">
        <v>16</v>
      </c>
      <c r="G17" s="2" t="s">
        <v>61</v>
      </c>
      <c r="H17" s="2" t="s">
        <v>62</v>
      </c>
      <c r="I17" s="2" t="s">
        <v>19</v>
      </c>
      <c r="J17" s="3"/>
      <c r="K17" s="3"/>
      <c r="L17" s="2" t="s">
        <v>61</v>
      </c>
      <c r="M17" s="2" t="s">
        <v>62</v>
      </c>
    </row>
    <row r="18" customFormat="false" ht="91" hidden="false" customHeight="false" outlineLevel="0" collapsed="false">
      <c r="A18" s="2" t="n">
        <v>17</v>
      </c>
      <c r="B18" s="2" t="s">
        <v>63</v>
      </c>
      <c r="C18" s="2" t="n">
        <v>50186</v>
      </c>
      <c r="D18" s="2" t="s">
        <v>14</v>
      </c>
      <c r="E18" s="2" t="s">
        <v>15</v>
      </c>
      <c r="F18" s="2" t="s">
        <v>16</v>
      </c>
      <c r="G18" s="2" t="s">
        <v>64</v>
      </c>
      <c r="H18" s="2" t="s">
        <v>65</v>
      </c>
      <c r="I18" s="2" t="s">
        <v>19</v>
      </c>
      <c r="J18" s="3"/>
      <c r="K18" s="3"/>
      <c r="L18" s="2" t="s">
        <v>64</v>
      </c>
      <c r="M18" s="2" t="s">
        <v>65</v>
      </c>
    </row>
    <row r="19" customFormat="false" ht="57.45" hidden="false" customHeight="false" outlineLevel="0" collapsed="false">
      <c r="A19" s="2" t="n">
        <v>18</v>
      </c>
      <c r="B19" s="2" t="s">
        <v>63</v>
      </c>
      <c r="C19" s="2" t="n">
        <v>50186</v>
      </c>
      <c r="D19" s="2" t="s">
        <v>14</v>
      </c>
      <c r="E19" s="2" t="s">
        <v>20</v>
      </c>
      <c r="F19" s="2" t="s">
        <v>16</v>
      </c>
      <c r="G19" s="2" t="s">
        <v>34</v>
      </c>
      <c r="H19" s="2" t="s">
        <v>35</v>
      </c>
      <c r="I19" s="2" t="s">
        <v>19</v>
      </c>
      <c r="J19" s="3"/>
      <c r="K19" s="3"/>
      <c r="L19" s="2" t="s">
        <v>34</v>
      </c>
      <c r="M19" s="2" t="s">
        <v>35</v>
      </c>
    </row>
    <row r="20" customFormat="false" ht="102.2" hidden="false" customHeight="false" outlineLevel="0" collapsed="false">
      <c r="A20" s="2" t="n">
        <v>19</v>
      </c>
      <c r="B20" s="2" t="s">
        <v>66</v>
      </c>
      <c r="C20" s="2" t="n">
        <v>50183</v>
      </c>
      <c r="D20" s="2" t="s">
        <v>14</v>
      </c>
      <c r="E20" s="2" t="s">
        <v>15</v>
      </c>
      <c r="F20" s="2" t="s">
        <v>16</v>
      </c>
      <c r="G20" s="2" t="s">
        <v>67</v>
      </c>
      <c r="H20" s="2" t="s">
        <v>68</v>
      </c>
      <c r="I20" s="2" t="s">
        <v>19</v>
      </c>
      <c r="J20" s="3"/>
      <c r="K20" s="3"/>
      <c r="L20" s="2" t="s">
        <v>67</v>
      </c>
      <c r="M20" s="2" t="s">
        <v>68</v>
      </c>
    </row>
    <row r="21" customFormat="false" ht="57.45" hidden="false" customHeight="false" outlineLevel="0" collapsed="false">
      <c r="A21" s="2" t="n">
        <v>20</v>
      </c>
      <c r="B21" s="2" t="s">
        <v>66</v>
      </c>
      <c r="C21" s="2" t="n">
        <v>50183</v>
      </c>
      <c r="D21" s="2" t="s">
        <v>14</v>
      </c>
      <c r="E21" s="2" t="s">
        <v>20</v>
      </c>
      <c r="F21" s="2" t="s">
        <v>16</v>
      </c>
      <c r="G21" s="2" t="s">
        <v>34</v>
      </c>
      <c r="H21" s="2" t="s">
        <v>35</v>
      </c>
      <c r="I21" s="2" t="s">
        <v>19</v>
      </c>
      <c r="J21" s="3"/>
      <c r="K21" s="3"/>
      <c r="L21" s="2" t="s">
        <v>34</v>
      </c>
      <c r="M21" s="2" t="s">
        <v>35</v>
      </c>
    </row>
    <row r="22" customFormat="false" ht="79.85" hidden="false" customHeight="false" outlineLevel="0" collapsed="false">
      <c r="A22" s="2" t="n">
        <v>21</v>
      </c>
      <c r="B22" s="2" t="s">
        <v>69</v>
      </c>
      <c r="C22" s="2" t="n">
        <v>50134</v>
      </c>
      <c r="D22" s="2" t="s">
        <v>14</v>
      </c>
      <c r="E22" s="2" t="s">
        <v>15</v>
      </c>
      <c r="F22" s="2" t="s">
        <v>16</v>
      </c>
      <c r="G22" s="2" t="s">
        <v>70</v>
      </c>
      <c r="H22" s="2" t="s">
        <v>71</v>
      </c>
      <c r="I22" s="2" t="s">
        <v>19</v>
      </c>
      <c r="J22" s="3"/>
      <c r="K22" s="3"/>
      <c r="L22" s="2" t="s">
        <v>70</v>
      </c>
      <c r="M22" s="2" t="s">
        <v>71</v>
      </c>
    </row>
    <row r="23" customFormat="false" ht="57.45" hidden="false" customHeight="false" outlineLevel="0" collapsed="false">
      <c r="A23" s="2" t="n">
        <v>22</v>
      </c>
      <c r="B23" s="2" t="s">
        <v>69</v>
      </c>
      <c r="C23" s="2" t="n">
        <v>50134</v>
      </c>
      <c r="D23" s="2" t="s">
        <v>14</v>
      </c>
      <c r="E23" s="2" t="s">
        <v>20</v>
      </c>
      <c r="F23" s="2" t="s">
        <v>16</v>
      </c>
      <c r="G23" s="2" t="s">
        <v>72</v>
      </c>
      <c r="H23" s="2" t="s">
        <v>73</v>
      </c>
      <c r="I23" s="2" t="s">
        <v>19</v>
      </c>
      <c r="J23" s="3"/>
      <c r="K23" s="3"/>
      <c r="L23" s="2" t="s">
        <v>72</v>
      </c>
      <c r="M23" s="2" t="s">
        <v>73</v>
      </c>
    </row>
    <row r="24" customFormat="false" ht="68.65" hidden="false" customHeight="false" outlineLevel="0" collapsed="false">
      <c r="A24" s="2" t="n">
        <v>23</v>
      </c>
      <c r="B24" s="2" t="s">
        <v>74</v>
      </c>
      <c r="C24" s="2" t="n">
        <v>50132</v>
      </c>
      <c r="D24" s="2" t="s">
        <v>14</v>
      </c>
      <c r="E24" s="2" t="s">
        <v>75</v>
      </c>
      <c r="F24" s="2" t="s">
        <v>16</v>
      </c>
      <c r="G24" s="2" t="s">
        <v>76</v>
      </c>
      <c r="H24" s="2" t="s">
        <v>77</v>
      </c>
      <c r="I24" s="2" t="s">
        <v>78</v>
      </c>
      <c r="J24" s="3"/>
      <c r="K24" s="3"/>
      <c r="L24" s="2" t="s">
        <v>76</v>
      </c>
      <c r="M24" s="2" t="s">
        <v>77</v>
      </c>
    </row>
    <row r="25" customFormat="false" ht="79.85" hidden="false" customHeight="false" outlineLevel="0" collapsed="false">
      <c r="A25" s="2" t="n">
        <v>24</v>
      </c>
      <c r="B25" s="2" t="s">
        <v>74</v>
      </c>
      <c r="C25" s="2" t="n">
        <v>50132</v>
      </c>
      <c r="D25" s="2" t="s">
        <v>14</v>
      </c>
      <c r="E25" s="2" t="s">
        <v>15</v>
      </c>
      <c r="F25" s="2" t="s">
        <v>16</v>
      </c>
      <c r="G25" s="2" t="s">
        <v>79</v>
      </c>
      <c r="H25" s="2" t="s">
        <v>80</v>
      </c>
      <c r="I25" s="2" t="s">
        <v>19</v>
      </c>
      <c r="J25" s="3"/>
      <c r="K25" s="3"/>
      <c r="L25" s="2" t="s">
        <v>79</v>
      </c>
      <c r="M25" s="2" t="s">
        <v>80</v>
      </c>
    </row>
    <row r="26" customFormat="false" ht="57.45" hidden="false" customHeight="false" outlineLevel="0" collapsed="false">
      <c r="A26" s="2" t="n">
        <v>25</v>
      </c>
      <c r="B26" s="2" t="s">
        <v>74</v>
      </c>
      <c r="C26" s="2" t="n">
        <v>50132</v>
      </c>
      <c r="D26" s="2" t="s">
        <v>14</v>
      </c>
      <c r="E26" s="2" t="s">
        <v>20</v>
      </c>
      <c r="F26" s="2" t="s">
        <v>16</v>
      </c>
      <c r="G26" s="2" t="s">
        <v>34</v>
      </c>
      <c r="H26" s="2" t="s">
        <v>35</v>
      </c>
      <c r="I26" s="2" t="s">
        <v>19</v>
      </c>
      <c r="J26" s="3"/>
      <c r="K26" s="3"/>
      <c r="L26" s="2" t="s">
        <v>34</v>
      </c>
      <c r="M26" s="2" t="s">
        <v>35</v>
      </c>
    </row>
    <row r="27" customFormat="false" ht="91" hidden="false" customHeight="false" outlineLevel="0" collapsed="false">
      <c r="A27" s="2" t="n">
        <v>26</v>
      </c>
      <c r="B27" s="2" t="s">
        <v>81</v>
      </c>
      <c r="C27" s="2" t="n">
        <v>50117</v>
      </c>
      <c r="D27" s="2" t="s">
        <v>14</v>
      </c>
      <c r="E27" s="2" t="s">
        <v>15</v>
      </c>
      <c r="F27" s="2" t="s">
        <v>16</v>
      </c>
      <c r="G27" s="2" t="s">
        <v>82</v>
      </c>
      <c r="H27" s="2" t="s">
        <v>83</v>
      </c>
      <c r="I27" s="2" t="s">
        <v>19</v>
      </c>
      <c r="J27" s="3"/>
      <c r="K27" s="3"/>
      <c r="L27" s="2" t="s">
        <v>82</v>
      </c>
      <c r="M27" s="2" t="s">
        <v>83</v>
      </c>
    </row>
    <row r="28" customFormat="false" ht="57.45" hidden="false" customHeight="false" outlineLevel="0" collapsed="false">
      <c r="A28" s="2" t="n">
        <v>27</v>
      </c>
      <c r="B28" s="2" t="s">
        <v>81</v>
      </c>
      <c r="C28" s="2" t="n">
        <v>50117</v>
      </c>
      <c r="D28" s="2" t="s">
        <v>14</v>
      </c>
      <c r="E28" s="2" t="s">
        <v>20</v>
      </c>
      <c r="F28" s="2" t="s">
        <v>16</v>
      </c>
      <c r="G28" s="2" t="s">
        <v>34</v>
      </c>
      <c r="H28" s="2" t="s">
        <v>35</v>
      </c>
      <c r="I28" s="2" t="s">
        <v>19</v>
      </c>
      <c r="J28" s="3"/>
      <c r="K28" s="3"/>
      <c r="L28" s="2" t="s">
        <v>34</v>
      </c>
      <c r="M28" s="2" t="s">
        <v>35</v>
      </c>
    </row>
    <row r="29" customFormat="false" ht="79.85" hidden="false" customHeight="false" outlineLevel="0" collapsed="false">
      <c r="A29" s="2" t="n">
        <v>28</v>
      </c>
      <c r="B29" s="2" t="s">
        <v>84</v>
      </c>
      <c r="C29" s="2" t="n">
        <v>50100</v>
      </c>
      <c r="D29" s="2" t="s">
        <v>14</v>
      </c>
      <c r="E29" s="2" t="s">
        <v>15</v>
      </c>
      <c r="F29" s="2" t="s">
        <v>16</v>
      </c>
      <c r="G29" s="2" t="s">
        <v>85</v>
      </c>
      <c r="H29" s="2" t="s">
        <v>86</v>
      </c>
      <c r="I29" s="2" t="s">
        <v>19</v>
      </c>
      <c r="J29" s="3"/>
      <c r="K29" s="3"/>
      <c r="L29" s="2" t="s">
        <v>85</v>
      </c>
      <c r="M29" s="2" t="s">
        <v>86</v>
      </c>
    </row>
    <row r="30" customFormat="false" ht="113.4" hidden="false" customHeight="false" outlineLevel="0" collapsed="false">
      <c r="A30" s="2" t="n">
        <v>29</v>
      </c>
      <c r="B30" s="2" t="s">
        <v>87</v>
      </c>
      <c r="C30" s="2" t="n">
        <v>50098</v>
      </c>
      <c r="D30" s="2" t="s">
        <v>14</v>
      </c>
      <c r="E30" s="2" t="s">
        <v>15</v>
      </c>
      <c r="F30" s="2" t="s">
        <v>16</v>
      </c>
      <c r="G30" s="2" t="s">
        <v>88</v>
      </c>
      <c r="H30" s="2" t="s">
        <v>89</v>
      </c>
      <c r="I30" s="2" t="s">
        <v>19</v>
      </c>
      <c r="J30" s="3"/>
      <c r="K30" s="3"/>
      <c r="L30" s="2" t="s">
        <v>88</v>
      </c>
      <c r="M30" s="2" t="s">
        <v>89</v>
      </c>
    </row>
    <row r="31" customFormat="false" ht="57.45" hidden="false" customHeight="false" outlineLevel="0" collapsed="false">
      <c r="A31" s="2" t="n">
        <v>30</v>
      </c>
      <c r="B31" s="2" t="s">
        <v>87</v>
      </c>
      <c r="C31" s="2" t="n">
        <v>50098</v>
      </c>
      <c r="D31" s="2" t="s">
        <v>14</v>
      </c>
      <c r="E31" s="2" t="s">
        <v>20</v>
      </c>
      <c r="F31" s="2" t="s">
        <v>16</v>
      </c>
      <c r="G31" s="2" t="s">
        <v>34</v>
      </c>
      <c r="H31" s="2" t="s">
        <v>35</v>
      </c>
      <c r="I31" s="2" t="s">
        <v>19</v>
      </c>
      <c r="J31" s="3"/>
      <c r="K31" s="3"/>
      <c r="L31" s="2" t="s">
        <v>34</v>
      </c>
      <c r="M31" s="2" t="s">
        <v>35</v>
      </c>
    </row>
    <row r="32" customFormat="false" ht="102.2" hidden="false" customHeight="false" outlineLevel="0" collapsed="false">
      <c r="A32" s="2" t="n">
        <v>31</v>
      </c>
      <c r="B32" s="2" t="s">
        <v>90</v>
      </c>
      <c r="C32" s="2" t="n">
        <v>50095</v>
      </c>
      <c r="D32" s="2" t="s">
        <v>14</v>
      </c>
      <c r="E32" s="2" t="s">
        <v>15</v>
      </c>
      <c r="F32" s="2" t="s">
        <v>16</v>
      </c>
      <c r="G32" s="2" t="s">
        <v>91</v>
      </c>
      <c r="H32" s="2" t="s">
        <v>92</v>
      </c>
      <c r="I32" s="2" t="s">
        <v>19</v>
      </c>
      <c r="J32" s="3"/>
      <c r="K32" s="3"/>
      <c r="L32" s="2" t="s">
        <v>91</v>
      </c>
      <c r="M32" s="2" t="s">
        <v>92</v>
      </c>
    </row>
    <row r="33" customFormat="false" ht="57.45" hidden="false" customHeight="false" outlineLevel="0" collapsed="false">
      <c r="A33" s="2" t="n">
        <v>32</v>
      </c>
      <c r="B33" s="2" t="s">
        <v>90</v>
      </c>
      <c r="C33" s="2" t="n">
        <v>50095</v>
      </c>
      <c r="D33" s="2" t="s">
        <v>14</v>
      </c>
      <c r="E33" s="2" t="s">
        <v>20</v>
      </c>
      <c r="F33" s="2" t="s">
        <v>16</v>
      </c>
      <c r="G33" s="2" t="s">
        <v>34</v>
      </c>
      <c r="H33" s="2" t="s">
        <v>35</v>
      </c>
      <c r="I33" s="2" t="s">
        <v>19</v>
      </c>
      <c r="J33" s="3"/>
      <c r="K33" s="3"/>
      <c r="L33" s="2" t="s">
        <v>34</v>
      </c>
      <c r="M33" s="2" t="s">
        <v>35</v>
      </c>
    </row>
    <row r="34" customFormat="false" ht="113.4" hidden="false" customHeight="false" outlineLevel="0" collapsed="false">
      <c r="A34" s="2" t="n">
        <v>33</v>
      </c>
      <c r="B34" s="2" t="s">
        <v>93</v>
      </c>
      <c r="C34" s="2" t="n">
        <v>50094</v>
      </c>
      <c r="D34" s="2" t="s">
        <v>14</v>
      </c>
      <c r="E34" s="2" t="s">
        <v>15</v>
      </c>
      <c r="F34" s="2" t="s">
        <v>16</v>
      </c>
      <c r="G34" s="2" t="s">
        <v>94</v>
      </c>
      <c r="H34" s="2" t="s">
        <v>95</v>
      </c>
      <c r="I34" s="2" t="s">
        <v>19</v>
      </c>
      <c r="J34" s="3"/>
      <c r="K34" s="3"/>
      <c r="L34" s="2" t="s">
        <v>96</v>
      </c>
      <c r="M34" s="2" t="s">
        <v>97</v>
      </c>
    </row>
    <row r="35" customFormat="false" ht="57.45" hidden="false" customHeight="false" outlineLevel="0" collapsed="false">
      <c r="A35" s="2" t="n">
        <v>34</v>
      </c>
      <c r="B35" s="2" t="s">
        <v>93</v>
      </c>
      <c r="C35" s="2" t="n">
        <v>50094</v>
      </c>
      <c r="D35" s="2" t="s">
        <v>14</v>
      </c>
      <c r="E35" s="2" t="s">
        <v>20</v>
      </c>
      <c r="F35" s="2" t="s">
        <v>16</v>
      </c>
      <c r="G35" s="2" t="s">
        <v>34</v>
      </c>
      <c r="H35" s="2" t="s">
        <v>35</v>
      </c>
      <c r="I35" s="2" t="s">
        <v>19</v>
      </c>
      <c r="J35" s="3"/>
      <c r="K35" s="3"/>
      <c r="L35" s="2" t="s">
        <v>34</v>
      </c>
      <c r="M35" s="2" t="s">
        <v>35</v>
      </c>
    </row>
    <row r="36" customFormat="false" ht="102.2" hidden="false" customHeight="false" outlineLevel="0" collapsed="false">
      <c r="A36" s="2" t="n">
        <v>35</v>
      </c>
      <c r="B36" s="2" t="s">
        <v>98</v>
      </c>
      <c r="C36" s="2" t="n">
        <v>50092</v>
      </c>
      <c r="D36" s="2" t="s">
        <v>14</v>
      </c>
      <c r="E36" s="2" t="s">
        <v>15</v>
      </c>
      <c r="F36" s="2" t="s">
        <v>16</v>
      </c>
      <c r="G36" s="2" t="s">
        <v>99</v>
      </c>
      <c r="H36" s="2" t="s">
        <v>100</v>
      </c>
      <c r="I36" s="2" t="s">
        <v>19</v>
      </c>
      <c r="J36" s="3"/>
      <c r="K36" s="3"/>
      <c r="L36" s="2" t="s">
        <v>99</v>
      </c>
      <c r="M36" s="2" t="s">
        <v>100</v>
      </c>
    </row>
    <row r="37" customFormat="false" ht="57.45" hidden="false" customHeight="false" outlineLevel="0" collapsed="false">
      <c r="A37" s="2" t="n">
        <v>36</v>
      </c>
      <c r="B37" s="2" t="s">
        <v>98</v>
      </c>
      <c r="C37" s="2" t="n">
        <v>50092</v>
      </c>
      <c r="D37" s="2" t="s">
        <v>14</v>
      </c>
      <c r="E37" s="2" t="s">
        <v>20</v>
      </c>
      <c r="F37" s="2" t="s">
        <v>16</v>
      </c>
      <c r="G37" s="2" t="s">
        <v>34</v>
      </c>
      <c r="H37" s="2" t="s">
        <v>35</v>
      </c>
      <c r="I37" s="2" t="s">
        <v>19</v>
      </c>
      <c r="J37" s="3"/>
      <c r="K37" s="3"/>
      <c r="L37" s="2" t="s">
        <v>34</v>
      </c>
      <c r="M37" s="2" t="s">
        <v>35</v>
      </c>
    </row>
    <row r="38" customFormat="false" ht="46.25" hidden="false" customHeight="false" outlineLevel="0" collapsed="false">
      <c r="A38" s="4" t="n">
        <v>37</v>
      </c>
      <c r="B38" s="4" t="s">
        <v>101</v>
      </c>
      <c r="C38" s="4" t="n">
        <v>50028</v>
      </c>
      <c r="D38" s="4" t="s">
        <v>14</v>
      </c>
      <c r="E38" s="4" t="s">
        <v>102</v>
      </c>
      <c r="F38" s="4" t="s">
        <v>27</v>
      </c>
      <c r="G38" s="4" t="s">
        <v>103</v>
      </c>
      <c r="H38" s="4" t="s">
        <v>103</v>
      </c>
      <c r="I38" s="4" t="s">
        <v>104</v>
      </c>
      <c r="J38" s="3"/>
      <c r="K38" s="3"/>
      <c r="L38" s="2" t="s">
        <v>105</v>
      </c>
      <c r="M38" s="2" t="s">
        <v>105</v>
      </c>
    </row>
    <row r="39" customFormat="false" ht="35.05" hidden="false" customHeight="false" outlineLevel="0" collapsed="false">
      <c r="A39" s="4" t="n">
        <v>38</v>
      </c>
      <c r="B39" s="4" t="s">
        <v>101</v>
      </c>
      <c r="C39" s="4" t="n">
        <v>50028</v>
      </c>
      <c r="D39" s="4" t="s">
        <v>106</v>
      </c>
      <c r="E39" s="4" t="s">
        <v>107</v>
      </c>
      <c r="F39" s="4" t="s">
        <v>27</v>
      </c>
      <c r="G39" s="4" t="s">
        <v>108</v>
      </c>
      <c r="H39" s="4" t="s">
        <v>108</v>
      </c>
      <c r="I39" s="4" t="s">
        <v>104</v>
      </c>
      <c r="J39" s="3"/>
      <c r="K39" s="3"/>
      <c r="L39" s="2" t="s">
        <v>108</v>
      </c>
      <c r="M39" s="2" t="s">
        <v>108</v>
      </c>
    </row>
    <row r="40" customFormat="false" ht="68.65" hidden="false" customHeight="false" outlineLevel="0" collapsed="false">
      <c r="A40" s="2" t="n">
        <v>39</v>
      </c>
      <c r="B40" s="2" t="s">
        <v>109</v>
      </c>
      <c r="C40" s="2" t="n">
        <v>49962</v>
      </c>
      <c r="D40" s="2" t="s">
        <v>14</v>
      </c>
      <c r="E40" s="2" t="s">
        <v>15</v>
      </c>
      <c r="F40" s="2" t="s">
        <v>16</v>
      </c>
      <c r="G40" s="2" t="s">
        <v>110</v>
      </c>
      <c r="H40" s="2" t="s">
        <v>111</v>
      </c>
      <c r="I40" s="2" t="s">
        <v>19</v>
      </c>
      <c r="J40" s="3"/>
      <c r="K40" s="3"/>
      <c r="L40" s="2" t="s">
        <v>110</v>
      </c>
      <c r="M40" s="2" t="s">
        <v>111</v>
      </c>
    </row>
    <row r="41" customFormat="false" ht="57.45" hidden="false" customHeight="false" outlineLevel="0" collapsed="false">
      <c r="A41" s="2" t="n">
        <v>40</v>
      </c>
      <c r="B41" s="2" t="s">
        <v>109</v>
      </c>
      <c r="C41" s="2" t="n">
        <v>49962</v>
      </c>
      <c r="D41" s="2" t="s">
        <v>14</v>
      </c>
      <c r="E41" s="2" t="s">
        <v>20</v>
      </c>
      <c r="F41" s="2" t="s">
        <v>16</v>
      </c>
      <c r="G41" s="2" t="s">
        <v>34</v>
      </c>
      <c r="H41" s="2" t="s">
        <v>35</v>
      </c>
      <c r="I41" s="2" t="s">
        <v>19</v>
      </c>
      <c r="J41" s="3"/>
      <c r="K41" s="3"/>
      <c r="L41" s="2" t="s">
        <v>36</v>
      </c>
      <c r="M41" s="2" t="s">
        <v>37</v>
      </c>
    </row>
    <row r="42" customFormat="false" ht="68.65" hidden="false" customHeight="false" outlineLevel="0" collapsed="false">
      <c r="A42" s="2" t="n">
        <v>41</v>
      </c>
      <c r="B42" s="2" t="s">
        <v>112</v>
      </c>
      <c r="C42" s="2" t="n">
        <v>49930</v>
      </c>
      <c r="D42" s="2" t="s">
        <v>14</v>
      </c>
      <c r="E42" s="2" t="s">
        <v>15</v>
      </c>
      <c r="F42" s="2" t="s">
        <v>16</v>
      </c>
      <c r="G42" s="2" t="s">
        <v>113</v>
      </c>
      <c r="H42" s="2" t="s">
        <v>114</v>
      </c>
      <c r="I42" s="2" t="s">
        <v>19</v>
      </c>
      <c r="J42" s="3"/>
      <c r="K42" s="3"/>
      <c r="L42" s="2" t="s">
        <v>113</v>
      </c>
      <c r="M42" s="2" t="s">
        <v>114</v>
      </c>
    </row>
    <row r="43" customFormat="false" ht="68.65" hidden="false" customHeight="false" outlineLevel="0" collapsed="false">
      <c r="A43" s="2" t="n">
        <v>42</v>
      </c>
      <c r="B43" s="2" t="s">
        <v>115</v>
      </c>
      <c r="C43" s="2" t="n">
        <v>49928</v>
      </c>
      <c r="D43" s="2" t="s">
        <v>14</v>
      </c>
      <c r="E43" s="2" t="s">
        <v>15</v>
      </c>
      <c r="F43" s="2" t="s">
        <v>16</v>
      </c>
      <c r="G43" s="2" t="s">
        <v>116</v>
      </c>
      <c r="H43" s="2" t="s">
        <v>117</v>
      </c>
      <c r="I43" s="2" t="s">
        <v>19</v>
      </c>
      <c r="J43" s="3"/>
      <c r="K43" s="3"/>
      <c r="L43" s="2" t="s">
        <v>118</v>
      </c>
      <c r="M43" s="2" t="s">
        <v>119</v>
      </c>
    </row>
    <row r="44" customFormat="false" ht="57.45" hidden="false" customHeight="false" outlineLevel="0" collapsed="false">
      <c r="A44" s="2" t="n">
        <v>43</v>
      </c>
      <c r="B44" s="2" t="s">
        <v>120</v>
      </c>
      <c r="C44" s="2" t="n">
        <v>49914</v>
      </c>
      <c r="D44" s="2" t="s">
        <v>14</v>
      </c>
      <c r="E44" s="2" t="s">
        <v>15</v>
      </c>
      <c r="F44" s="2" t="s">
        <v>16</v>
      </c>
      <c r="G44" s="2" t="s">
        <v>121</v>
      </c>
      <c r="H44" s="2" t="s">
        <v>122</v>
      </c>
      <c r="I44" s="2" t="s">
        <v>19</v>
      </c>
      <c r="J44" s="3"/>
      <c r="K44" s="3"/>
      <c r="L44" s="2" t="s">
        <v>121</v>
      </c>
      <c r="M44" s="2" t="s">
        <v>122</v>
      </c>
    </row>
    <row r="45" customFormat="false" ht="68.65" hidden="false" customHeight="false" outlineLevel="0" collapsed="false">
      <c r="A45" s="2" t="n">
        <v>44</v>
      </c>
      <c r="B45" s="2" t="s">
        <v>123</v>
      </c>
      <c r="C45" s="2" t="n">
        <v>49912</v>
      </c>
      <c r="D45" s="2" t="s">
        <v>14</v>
      </c>
      <c r="E45" s="2" t="s">
        <v>15</v>
      </c>
      <c r="F45" s="2" t="s">
        <v>16</v>
      </c>
      <c r="G45" s="2" t="s">
        <v>124</v>
      </c>
      <c r="H45" s="2" t="s">
        <v>125</v>
      </c>
      <c r="I45" s="2" t="s">
        <v>19</v>
      </c>
      <c r="J45" s="3"/>
      <c r="K45" s="3"/>
      <c r="L45" s="2" t="s">
        <v>124</v>
      </c>
      <c r="M45" s="2" t="s">
        <v>125</v>
      </c>
    </row>
    <row r="46" customFormat="false" ht="57.45" hidden="false" customHeight="false" outlineLevel="0" collapsed="false">
      <c r="A46" s="2" t="n">
        <v>45</v>
      </c>
      <c r="B46" s="2" t="s">
        <v>123</v>
      </c>
      <c r="C46" s="2" t="n">
        <v>49912</v>
      </c>
      <c r="D46" s="2" t="s">
        <v>14</v>
      </c>
      <c r="E46" s="2" t="s">
        <v>20</v>
      </c>
      <c r="F46" s="2" t="s">
        <v>16</v>
      </c>
      <c r="G46" s="2" t="s">
        <v>126</v>
      </c>
      <c r="H46" s="2" t="s">
        <v>127</v>
      </c>
      <c r="I46" s="2" t="s">
        <v>19</v>
      </c>
      <c r="J46" s="3"/>
      <c r="K46" s="3"/>
      <c r="L46" s="2" t="s">
        <v>128</v>
      </c>
      <c r="M46" s="2" t="s">
        <v>129</v>
      </c>
    </row>
    <row r="47" customFormat="false" ht="57.45" hidden="false" customHeight="false" outlineLevel="0" collapsed="false">
      <c r="A47" s="2" t="n">
        <v>46</v>
      </c>
      <c r="B47" s="2" t="s">
        <v>130</v>
      </c>
      <c r="C47" s="2" t="n">
        <v>49890</v>
      </c>
      <c r="D47" s="2" t="s">
        <v>14</v>
      </c>
      <c r="E47" s="2" t="s">
        <v>15</v>
      </c>
      <c r="F47" s="2" t="s">
        <v>16</v>
      </c>
      <c r="G47" s="2" t="s">
        <v>131</v>
      </c>
      <c r="H47" s="2" t="s">
        <v>132</v>
      </c>
      <c r="I47" s="2" t="s">
        <v>19</v>
      </c>
      <c r="J47" s="3"/>
      <c r="K47" s="3"/>
      <c r="L47" s="2" t="s">
        <v>131</v>
      </c>
      <c r="M47" s="2" t="s">
        <v>132</v>
      </c>
    </row>
    <row r="48" customFormat="false" ht="57.45" hidden="false" customHeight="false" outlineLevel="0" collapsed="false">
      <c r="A48" s="2" t="n">
        <v>47</v>
      </c>
      <c r="B48" s="2" t="s">
        <v>130</v>
      </c>
      <c r="C48" s="2" t="n">
        <v>49890</v>
      </c>
      <c r="D48" s="2" t="s">
        <v>14</v>
      </c>
      <c r="E48" s="2" t="s">
        <v>20</v>
      </c>
      <c r="F48" s="2" t="s">
        <v>16</v>
      </c>
      <c r="G48" s="2" t="s">
        <v>133</v>
      </c>
      <c r="H48" s="2" t="s">
        <v>134</v>
      </c>
      <c r="I48" s="2" t="s">
        <v>19</v>
      </c>
      <c r="J48" s="3"/>
      <c r="K48" s="3"/>
      <c r="L48" s="2" t="s">
        <v>135</v>
      </c>
      <c r="M48" s="2" t="s">
        <v>136</v>
      </c>
    </row>
    <row r="49" customFormat="false" ht="57.45" hidden="false" customHeight="false" outlineLevel="0" collapsed="false">
      <c r="A49" s="2" t="n">
        <v>48</v>
      </c>
      <c r="B49" s="2" t="s">
        <v>137</v>
      </c>
      <c r="C49" s="2" t="n">
        <v>49811</v>
      </c>
      <c r="D49" s="2" t="s">
        <v>14</v>
      </c>
      <c r="E49" s="2" t="s">
        <v>15</v>
      </c>
      <c r="F49" s="2" t="s">
        <v>16</v>
      </c>
      <c r="G49" s="2" t="s">
        <v>138</v>
      </c>
      <c r="H49" s="2" t="s">
        <v>139</v>
      </c>
      <c r="I49" s="2" t="s">
        <v>19</v>
      </c>
      <c r="J49" s="3"/>
      <c r="K49" s="3"/>
      <c r="L49" s="2" t="s">
        <v>138</v>
      </c>
      <c r="M49" s="2" t="s">
        <v>139</v>
      </c>
    </row>
    <row r="50" customFormat="false" ht="57.45" hidden="false" customHeight="false" outlineLevel="0" collapsed="false">
      <c r="A50" s="2" t="n">
        <v>49</v>
      </c>
      <c r="B50" s="2" t="s">
        <v>137</v>
      </c>
      <c r="C50" s="2" t="n">
        <v>49811</v>
      </c>
      <c r="D50" s="2" t="s">
        <v>14</v>
      </c>
      <c r="E50" s="2" t="s">
        <v>20</v>
      </c>
      <c r="F50" s="2" t="s">
        <v>16</v>
      </c>
      <c r="G50" s="2" t="s">
        <v>140</v>
      </c>
      <c r="H50" s="2" t="s">
        <v>141</v>
      </c>
      <c r="I50" s="2" t="s">
        <v>19</v>
      </c>
      <c r="J50" s="3"/>
      <c r="K50" s="3"/>
      <c r="L50" s="2" t="s">
        <v>142</v>
      </c>
      <c r="M50" s="2" t="s">
        <v>143</v>
      </c>
    </row>
    <row r="51" customFormat="false" ht="57.45" hidden="false" customHeight="false" outlineLevel="0" collapsed="false">
      <c r="A51" s="2" t="n">
        <v>50</v>
      </c>
      <c r="B51" s="2" t="s">
        <v>144</v>
      </c>
      <c r="C51" s="2" t="n">
        <v>49788</v>
      </c>
      <c r="D51" s="2" t="s">
        <v>14</v>
      </c>
      <c r="E51" s="2" t="s">
        <v>20</v>
      </c>
      <c r="F51" s="2" t="s">
        <v>16</v>
      </c>
      <c r="G51" s="2" t="s">
        <v>145</v>
      </c>
      <c r="H51" s="2" t="s">
        <v>146</v>
      </c>
      <c r="I51" s="2" t="s">
        <v>19</v>
      </c>
      <c r="J51" s="3"/>
      <c r="K51" s="3"/>
      <c r="L51" s="2" t="s">
        <v>147</v>
      </c>
      <c r="M51" s="2" t="s">
        <v>148</v>
      </c>
    </row>
    <row r="52" customFormat="false" ht="57.45" hidden="false" customHeight="false" outlineLevel="0" collapsed="false">
      <c r="A52" s="4" t="n">
        <v>51</v>
      </c>
      <c r="B52" s="4" t="s">
        <v>149</v>
      </c>
      <c r="C52" s="4" t="n">
        <v>49701</v>
      </c>
      <c r="D52" s="4" t="s">
        <v>14</v>
      </c>
      <c r="E52" s="4" t="s">
        <v>150</v>
      </c>
      <c r="F52" s="4" t="s">
        <v>27</v>
      </c>
      <c r="G52" s="4" t="s">
        <v>151</v>
      </c>
      <c r="H52" s="4" t="s">
        <v>151</v>
      </c>
      <c r="I52" s="4" t="s">
        <v>104</v>
      </c>
      <c r="J52" s="3"/>
      <c r="K52" s="3"/>
      <c r="L52" s="2" t="s">
        <v>152</v>
      </c>
      <c r="M52" s="2" t="s">
        <v>152</v>
      </c>
    </row>
    <row r="53" customFormat="false" ht="46.25" hidden="false" customHeight="false" outlineLevel="0" collapsed="false">
      <c r="A53" s="4" t="n">
        <v>52</v>
      </c>
      <c r="B53" s="4" t="s">
        <v>149</v>
      </c>
      <c r="C53" s="4" t="n">
        <v>49701</v>
      </c>
      <c r="D53" s="4" t="s">
        <v>14</v>
      </c>
      <c r="E53" s="4" t="s">
        <v>153</v>
      </c>
      <c r="F53" s="4" t="s">
        <v>27</v>
      </c>
      <c r="G53" s="4" t="s">
        <v>154</v>
      </c>
      <c r="H53" s="4" t="s">
        <v>154</v>
      </c>
      <c r="I53" s="4" t="s">
        <v>104</v>
      </c>
      <c r="J53" s="3"/>
      <c r="K53" s="3"/>
      <c r="L53" s="2" t="s">
        <v>154</v>
      </c>
      <c r="M53" s="2" t="s">
        <v>154</v>
      </c>
    </row>
    <row r="54" customFormat="false" ht="46.25" hidden="false" customHeight="false" outlineLevel="0" collapsed="false">
      <c r="A54" s="4" t="n">
        <v>53</v>
      </c>
      <c r="B54" s="4" t="s">
        <v>149</v>
      </c>
      <c r="C54" s="4" t="n">
        <v>49701</v>
      </c>
      <c r="D54" s="4" t="s">
        <v>155</v>
      </c>
      <c r="E54" s="4" t="s">
        <v>153</v>
      </c>
      <c r="F54" s="4" t="s">
        <v>27</v>
      </c>
      <c r="G54" s="4" t="s">
        <v>156</v>
      </c>
      <c r="H54" s="4" t="s">
        <v>156</v>
      </c>
      <c r="I54" s="4" t="s">
        <v>104</v>
      </c>
      <c r="J54" s="3"/>
      <c r="K54" s="3"/>
      <c r="L54" s="2" t="s">
        <v>156</v>
      </c>
      <c r="M54" s="2" t="s">
        <v>156</v>
      </c>
    </row>
    <row r="55" customFormat="false" ht="46.25" hidden="false" customHeight="false" outlineLevel="0" collapsed="false">
      <c r="A55" s="4" t="n">
        <v>54</v>
      </c>
      <c r="B55" s="4" t="s">
        <v>149</v>
      </c>
      <c r="C55" s="4" t="n">
        <v>49701</v>
      </c>
      <c r="D55" s="4" t="s">
        <v>106</v>
      </c>
      <c r="E55" s="4" t="s">
        <v>107</v>
      </c>
      <c r="F55" s="4" t="s">
        <v>27</v>
      </c>
      <c r="G55" s="4" t="s">
        <v>157</v>
      </c>
      <c r="H55" s="4" t="s">
        <v>157</v>
      </c>
      <c r="I55" s="4" t="s">
        <v>104</v>
      </c>
      <c r="J55" s="3"/>
      <c r="K55" s="3"/>
      <c r="L55" s="2" t="s">
        <v>157</v>
      </c>
      <c r="M55" s="2" t="s">
        <v>157</v>
      </c>
    </row>
    <row r="56" customFormat="false" ht="102.2" hidden="false" customHeight="false" outlineLevel="0" collapsed="false">
      <c r="A56" s="2" t="n">
        <v>55</v>
      </c>
      <c r="B56" s="2" t="s">
        <v>158</v>
      </c>
      <c r="C56" s="2" t="n">
        <v>49685</v>
      </c>
      <c r="D56" s="2" t="s">
        <v>14</v>
      </c>
      <c r="E56" s="2" t="s">
        <v>15</v>
      </c>
      <c r="F56" s="2" t="s">
        <v>16</v>
      </c>
      <c r="G56" s="2" t="s">
        <v>159</v>
      </c>
      <c r="H56" s="2" t="s">
        <v>160</v>
      </c>
      <c r="I56" s="2" t="s">
        <v>19</v>
      </c>
      <c r="J56" s="3"/>
      <c r="K56" s="3"/>
      <c r="L56" s="2" t="s">
        <v>159</v>
      </c>
      <c r="M56" s="2" t="s">
        <v>160</v>
      </c>
    </row>
    <row r="57" customFormat="false" ht="113.4" hidden="false" customHeight="false" outlineLevel="0" collapsed="false">
      <c r="A57" s="2" t="n">
        <v>56</v>
      </c>
      <c r="B57" s="2" t="s">
        <v>161</v>
      </c>
      <c r="C57" s="2" t="n">
        <v>49556</v>
      </c>
      <c r="D57" s="2" t="s">
        <v>14</v>
      </c>
      <c r="E57" s="2" t="s">
        <v>15</v>
      </c>
      <c r="F57" s="2" t="s">
        <v>16</v>
      </c>
      <c r="G57" s="2" t="s">
        <v>162</v>
      </c>
      <c r="H57" s="2" t="s">
        <v>163</v>
      </c>
      <c r="I57" s="2" t="s">
        <v>19</v>
      </c>
      <c r="J57" s="3"/>
      <c r="K57" s="3"/>
      <c r="L57" s="2" t="s">
        <v>162</v>
      </c>
      <c r="M57" s="2" t="s">
        <v>163</v>
      </c>
    </row>
    <row r="58" customFormat="false" ht="91" hidden="false" customHeight="false" outlineLevel="0" collapsed="false">
      <c r="A58" s="2" t="n">
        <v>57</v>
      </c>
      <c r="B58" s="2" t="s">
        <v>161</v>
      </c>
      <c r="C58" s="2" t="n">
        <v>49556</v>
      </c>
      <c r="D58" s="2" t="s">
        <v>14</v>
      </c>
      <c r="E58" s="2" t="s">
        <v>15</v>
      </c>
      <c r="F58" s="2" t="s">
        <v>16</v>
      </c>
      <c r="G58" s="2" t="s">
        <v>164</v>
      </c>
      <c r="H58" s="2" t="s">
        <v>165</v>
      </c>
      <c r="I58" s="2" t="s">
        <v>19</v>
      </c>
      <c r="J58" s="3"/>
      <c r="K58" s="3"/>
      <c r="L58" s="2" t="s">
        <v>164</v>
      </c>
      <c r="M58" s="2" t="s">
        <v>165</v>
      </c>
    </row>
    <row r="59" customFormat="false" ht="57.45" hidden="false" customHeight="false" outlineLevel="0" collapsed="false">
      <c r="A59" s="2" t="n">
        <v>58</v>
      </c>
      <c r="B59" s="2" t="s">
        <v>161</v>
      </c>
      <c r="C59" s="2" t="n">
        <v>49556</v>
      </c>
      <c r="D59" s="2" t="s">
        <v>14</v>
      </c>
      <c r="E59" s="2" t="s">
        <v>20</v>
      </c>
      <c r="F59" s="2" t="s">
        <v>16</v>
      </c>
      <c r="G59" s="2" t="s">
        <v>166</v>
      </c>
      <c r="H59" s="2" t="s">
        <v>167</v>
      </c>
      <c r="I59" s="2" t="s">
        <v>19</v>
      </c>
      <c r="J59" s="3"/>
      <c r="K59" s="3"/>
      <c r="L59" s="2" t="s">
        <v>166</v>
      </c>
      <c r="M59" s="2" t="s">
        <v>167</v>
      </c>
    </row>
    <row r="60" customFormat="false" ht="113.4" hidden="false" customHeight="false" outlineLevel="0" collapsed="false">
      <c r="A60" s="2" t="n">
        <v>59</v>
      </c>
      <c r="B60" s="2" t="s">
        <v>168</v>
      </c>
      <c r="C60" s="2" t="n">
        <v>49095</v>
      </c>
      <c r="D60" s="2" t="s">
        <v>14</v>
      </c>
      <c r="E60" s="2" t="s">
        <v>15</v>
      </c>
      <c r="F60" s="2" t="s">
        <v>16</v>
      </c>
      <c r="G60" s="2" t="s">
        <v>169</v>
      </c>
      <c r="H60" s="2" t="s">
        <v>170</v>
      </c>
      <c r="I60" s="2" t="s">
        <v>19</v>
      </c>
      <c r="J60" s="3"/>
      <c r="K60" s="3"/>
      <c r="L60" s="2" t="s">
        <v>169</v>
      </c>
      <c r="M60" s="2" t="s">
        <v>170</v>
      </c>
    </row>
    <row r="61" customFormat="false" ht="57.45" hidden="false" customHeight="false" outlineLevel="0" collapsed="false">
      <c r="A61" s="2" t="n">
        <v>60</v>
      </c>
      <c r="B61" s="2" t="s">
        <v>168</v>
      </c>
      <c r="C61" s="2" t="n">
        <v>49095</v>
      </c>
      <c r="D61" s="2" t="s">
        <v>14</v>
      </c>
      <c r="E61" s="2" t="s">
        <v>20</v>
      </c>
      <c r="F61" s="2" t="s">
        <v>16</v>
      </c>
      <c r="G61" s="2" t="s">
        <v>171</v>
      </c>
      <c r="H61" s="2" t="s">
        <v>172</v>
      </c>
      <c r="I61" s="2" t="s">
        <v>19</v>
      </c>
      <c r="J61" s="3"/>
      <c r="K61" s="3"/>
      <c r="L61" s="2" t="s">
        <v>171</v>
      </c>
      <c r="M61" s="2" t="s">
        <v>172</v>
      </c>
    </row>
    <row r="62" customFormat="false" ht="102.2" hidden="false" customHeight="false" outlineLevel="0" collapsed="false">
      <c r="A62" s="2" t="n">
        <v>61</v>
      </c>
      <c r="B62" s="2" t="s">
        <v>173</v>
      </c>
      <c r="C62" s="2" t="n">
        <v>49006</v>
      </c>
      <c r="D62" s="2" t="s">
        <v>14</v>
      </c>
      <c r="E62" s="2" t="s">
        <v>15</v>
      </c>
      <c r="F62" s="2" t="s">
        <v>16</v>
      </c>
      <c r="G62" s="2" t="s">
        <v>174</v>
      </c>
      <c r="H62" s="2" t="s">
        <v>175</v>
      </c>
      <c r="I62" s="2" t="s">
        <v>19</v>
      </c>
      <c r="J62" s="3"/>
      <c r="K62" s="3"/>
      <c r="L62" s="2" t="s">
        <v>174</v>
      </c>
      <c r="M62" s="2" t="s">
        <v>175</v>
      </c>
    </row>
    <row r="63" customFormat="false" ht="57.45" hidden="false" customHeight="false" outlineLevel="0" collapsed="false">
      <c r="A63" s="2" t="n">
        <v>62</v>
      </c>
      <c r="B63" s="2" t="s">
        <v>173</v>
      </c>
      <c r="C63" s="2" t="n">
        <v>49006</v>
      </c>
      <c r="D63" s="2" t="s">
        <v>14</v>
      </c>
      <c r="E63" s="2" t="s">
        <v>20</v>
      </c>
      <c r="F63" s="2" t="s">
        <v>16</v>
      </c>
      <c r="G63" s="2" t="s">
        <v>171</v>
      </c>
      <c r="H63" s="2" t="s">
        <v>172</v>
      </c>
      <c r="I63" s="2" t="s">
        <v>19</v>
      </c>
      <c r="J63" s="3"/>
      <c r="K63" s="3"/>
      <c r="L63" s="2" t="s">
        <v>171</v>
      </c>
      <c r="M63" s="2" t="s">
        <v>172</v>
      </c>
    </row>
    <row r="64" customFormat="false" ht="57.45" hidden="false" customHeight="false" outlineLevel="0" collapsed="false">
      <c r="A64" s="2" t="n">
        <v>63</v>
      </c>
      <c r="B64" s="2" t="s">
        <v>176</v>
      </c>
      <c r="C64" s="2" t="n">
        <v>49004</v>
      </c>
      <c r="D64" s="2" t="s">
        <v>14</v>
      </c>
      <c r="E64" s="2" t="s">
        <v>15</v>
      </c>
      <c r="F64" s="2" t="s">
        <v>16</v>
      </c>
      <c r="G64" s="2" t="s">
        <v>177</v>
      </c>
      <c r="H64" s="2" t="s">
        <v>178</v>
      </c>
      <c r="I64" s="2" t="s">
        <v>19</v>
      </c>
      <c r="J64" s="3"/>
      <c r="K64" s="3"/>
      <c r="L64" s="2" t="s">
        <v>177</v>
      </c>
      <c r="M64" s="2" t="s">
        <v>178</v>
      </c>
    </row>
    <row r="65" customFormat="false" ht="57.45" hidden="false" customHeight="false" outlineLevel="0" collapsed="false">
      <c r="A65" s="2" t="n">
        <v>64</v>
      </c>
      <c r="B65" s="2" t="s">
        <v>179</v>
      </c>
      <c r="C65" s="2" t="n">
        <v>48994</v>
      </c>
      <c r="D65" s="2" t="s">
        <v>14</v>
      </c>
      <c r="E65" s="2" t="s">
        <v>20</v>
      </c>
      <c r="F65" s="2" t="s">
        <v>16</v>
      </c>
      <c r="G65" s="2" t="s">
        <v>180</v>
      </c>
      <c r="H65" s="2" t="s">
        <v>181</v>
      </c>
      <c r="I65" s="2" t="s">
        <v>19</v>
      </c>
      <c r="J65" s="3"/>
      <c r="K65" s="3"/>
      <c r="L65" s="2" t="s">
        <v>180</v>
      </c>
      <c r="M65" s="2" t="s">
        <v>181</v>
      </c>
    </row>
    <row r="66" customFormat="false" ht="102.2" hidden="false" customHeight="false" outlineLevel="0" collapsed="false">
      <c r="A66" s="2" t="n">
        <v>65</v>
      </c>
      <c r="B66" s="2" t="s">
        <v>182</v>
      </c>
      <c r="C66" s="2" t="n">
        <v>48932</v>
      </c>
      <c r="D66" s="2" t="s">
        <v>14</v>
      </c>
      <c r="E66" s="2" t="s">
        <v>15</v>
      </c>
      <c r="F66" s="2" t="s">
        <v>16</v>
      </c>
      <c r="G66" s="2" t="s">
        <v>183</v>
      </c>
      <c r="H66" s="2" t="s">
        <v>184</v>
      </c>
      <c r="I66" s="2" t="s">
        <v>19</v>
      </c>
      <c r="J66" s="3"/>
      <c r="K66" s="3"/>
      <c r="L66" s="2" t="s">
        <v>183</v>
      </c>
      <c r="M66" s="2" t="s">
        <v>184</v>
      </c>
    </row>
    <row r="67" customFormat="false" ht="57.45" hidden="false" customHeight="false" outlineLevel="0" collapsed="false">
      <c r="A67" s="2" t="n">
        <v>66</v>
      </c>
      <c r="B67" s="2" t="s">
        <v>185</v>
      </c>
      <c r="C67" s="2" t="n">
        <v>48871</v>
      </c>
      <c r="D67" s="2" t="s">
        <v>14</v>
      </c>
      <c r="E67" s="2" t="s">
        <v>15</v>
      </c>
      <c r="F67" s="2" t="s">
        <v>16</v>
      </c>
      <c r="G67" s="2" t="s">
        <v>186</v>
      </c>
      <c r="H67" s="2" t="s">
        <v>187</v>
      </c>
      <c r="I67" s="2" t="s">
        <v>19</v>
      </c>
      <c r="J67" s="3"/>
      <c r="K67" s="3"/>
      <c r="L67" s="2" t="s">
        <v>186</v>
      </c>
      <c r="M67" s="2" t="s">
        <v>187</v>
      </c>
    </row>
    <row r="68" customFormat="false" ht="102.2" hidden="false" customHeight="false" outlineLevel="0" collapsed="false">
      <c r="A68" s="2" t="n">
        <v>67</v>
      </c>
      <c r="B68" s="2" t="s">
        <v>188</v>
      </c>
      <c r="C68" s="2" t="n">
        <v>48844</v>
      </c>
      <c r="D68" s="2" t="s">
        <v>14</v>
      </c>
      <c r="E68" s="2" t="s">
        <v>15</v>
      </c>
      <c r="F68" s="2" t="s">
        <v>16</v>
      </c>
      <c r="G68" s="2" t="s">
        <v>189</v>
      </c>
      <c r="H68" s="2" t="s">
        <v>190</v>
      </c>
      <c r="I68" s="2" t="s">
        <v>19</v>
      </c>
      <c r="J68" s="3"/>
      <c r="K68" s="3"/>
      <c r="L68" s="2" t="s">
        <v>189</v>
      </c>
      <c r="M68" s="2" t="s">
        <v>190</v>
      </c>
    </row>
    <row r="69" customFormat="false" ht="68.65" hidden="false" customHeight="false" outlineLevel="0" collapsed="false">
      <c r="A69" s="2" t="n">
        <v>68</v>
      </c>
      <c r="B69" s="2" t="s">
        <v>188</v>
      </c>
      <c r="C69" s="2" t="n">
        <v>48844</v>
      </c>
      <c r="D69" s="2" t="s">
        <v>14</v>
      </c>
      <c r="E69" s="2" t="s">
        <v>15</v>
      </c>
      <c r="F69" s="2" t="s">
        <v>16</v>
      </c>
      <c r="G69" s="2" t="s">
        <v>191</v>
      </c>
      <c r="H69" s="2" t="s">
        <v>192</v>
      </c>
      <c r="I69" s="2" t="s">
        <v>19</v>
      </c>
      <c r="J69" s="3"/>
      <c r="K69" s="3"/>
      <c r="L69" s="2" t="s">
        <v>191</v>
      </c>
      <c r="M69" s="2" t="s">
        <v>192</v>
      </c>
    </row>
    <row r="70" customFormat="false" ht="79.85" hidden="false" customHeight="false" outlineLevel="0" collapsed="false">
      <c r="A70" s="4" t="n">
        <v>69</v>
      </c>
      <c r="B70" s="4" t="s">
        <v>193</v>
      </c>
      <c r="C70" s="4" t="n">
        <v>48320</v>
      </c>
      <c r="D70" s="4" t="s">
        <v>14</v>
      </c>
      <c r="E70" s="4" t="s">
        <v>194</v>
      </c>
      <c r="F70" s="4" t="s">
        <v>27</v>
      </c>
      <c r="G70" s="4" t="s">
        <v>195</v>
      </c>
      <c r="H70" s="4" t="s">
        <v>195</v>
      </c>
      <c r="I70" s="4" t="s">
        <v>196</v>
      </c>
      <c r="J70" s="3"/>
      <c r="K70" s="3"/>
      <c r="L70" s="2" t="s">
        <v>195</v>
      </c>
      <c r="M70" s="2" t="s">
        <v>195</v>
      </c>
    </row>
    <row r="71" customFormat="false" ht="91" hidden="false" customHeight="false" outlineLevel="0" collapsed="false">
      <c r="A71" s="2" t="n">
        <v>70</v>
      </c>
      <c r="B71" s="2" t="s">
        <v>193</v>
      </c>
      <c r="C71" s="2" t="n">
        <v>48320</v>
      </c>
      <c r="D71" s="2" t="s">
        <v>14</v>
      </c>
      <c r="E71" s="2" t="s">
        <v>15</v>
      </c>
      <c r="F71" s="2" t="s">
        <v>16</v>
      </c>
      <c r="G71" s="2" t="s">
        <v>197</v>
      </c>
      <c r="H71" s="2" t="s">
        <v>198</v>
      </c>
      <c r="I71" s="2" t="s">
        <v>19</v>
      </c>
      <c r="J71" s="3"/>
      <c r="K71" s="3"/>
      <c r="L71" s="2" t="s">
        <v>199</v>
      </c>
      <c r="M71" s="2" t="s">
        <v>200</v>
      </c>
    </row>
    <row r="72" customFormat="false" ht="57.45" hidden="false" customHeight="false" outlineLevel="0" collapsed="false">
      <c r="A72" s="2" t="n">
        <v>71</v>
      </c>
      <c r="B72" s="2" t="s">
        <v>193</v>
      </c>
      <c r="C72" s="2" t="n">
        <v>48320</v>
      </c>
      <c r="D72" s="2" t="s">
        <v>14</v>
      </c>
      <c r="E72" s="2" t="s">
        <v>20</v>
      </c>
      <c r="F72" s="2" t="s">
        <v>16</v>
      </c>
      <c r="G72" s="2" t="s">
        <v>201</v>
      </c>
      <c r="H72" s="2" t="s">
        <v>202</v>
      </c>
      <c r="I72" s="2" t="s">
        <v>19</v>
      </c>
      <c r="J72" s="3"/>
      <c r="K72" s="3"/>
      <c r="L72" s="2" t="s">
        <v>201</v>
      </c>
      <c r="M72" s="2" t="s">
        <v>202</v>
      </c>
    </row>
    <row r="73" customFormat="false" ht="57.45" hidden="false" customHeight="false" outlineLevel="0" collapsed="false">
      <c r="A73" s="2" t="n">
        <v>72</v>
      </c>
      <c r="B73" s="2" t="s">
        <v>203</v>
      </c>
      <c r="C73" s="2" t="n">
        <v>48225</v>
      </c>
      <c r="D73" s="2" t="s">
        <v>14</v>
      </c>
      <c r="E73" s="2" t="s">
        <v>204</v>
      </c>
      <c r="F73" s="2" t="s">
        <v>16</v>
      </c>
      <c r="G73" s="2" t="s">
        <v>205</v>
      </c>
      <c r="H73" s="2" t="s">
        <v>206</v>
      </c>
      <c r="I73" s="2" t="s">
        <v>19</v>
      </c>
      <c r="J73" s="3"/>
      <c r="K73" s="3"/>
      <c r="L73" s="2" t="s">
        <v>205</v>
      </c>
      <c r="M73" s="2" t="s">
        <v>206</v>
      </c>
    </row>
    <row r="74" customFormat="false" ht="57.45" hidden="false" customHeight="false" outlineLevel="0" collapsed="false">
      <c r="A74" s="2" t="n">
        <v>73</v>
      </c>
      <c r="B74" s="2" t="s">
        <v>207</v>
      </c>
      <c r="C74" s="2" t="n">
        <v>48129</v>
      </c>
      <c r="D74" s="2" t="s">
        <v>14</v>
      </c>
      <c r="E74" s="2" t="s">
        <v>208</v>
      </c>
      <c r="F74" s="2" t="s">
        <v>16</v>
      </c>
      <c r="G74" s="2" t="s">
        <v>209</v>
      </c>
      <c r="H74" s="2" t="s">
        <v>210</v>
      </c>
      <c r="I74" s="2" t="s">
        <v>19</v>
      </c>
      <c r="J74" s="3"/>
      <c r="K74" s="3"/>
      <c r="L74" s="2" t="s">
        <v>209</v>
      </c>
      <c r="M74" s="2" t="s">
        <v>210</v>
      </c>
    </row>
    <row r="75" customFormat="false" ht="57.45" hidden="false" customHeight="false" outlineLevel="0" collapsed="false">
      <c r="A75" s="2" t="n">
        <v>74</v>
      </c>
      <c r="B75" s="2" t="s">
        <v>211</v>
      </c>
      <c r="C75" s="2" t="n">
        <v>48044</v>
      </c>
      <c r="D75" s="2" t="s">
        <v>14</v>
      </c>
      <c r="E75" s="2" t="s">
        <v>212</v>
      </c>
      <c r="F75" s="2" t="s">
        <v>16</v>
      </c>
      <c r="G75" s="2" t="s">
        <v>213</v>
      </c>
      <c r="H75" s="2" t="s">
        <v>214</v>
      </c>
      <c r="I75" s="2" t="s">
        <v>19</v>
      </c>
      <c r="J75" s="3"/>
      <c r="K75" s="3"/>
      <c r="L75" s="2" t="s">
        <v>213</v>
      </c>
      <c r="M75" s="2" t="s">
        <v>214</v>
      </c>
    </row>
    <row r="76" customFormat="false" ht="57.45" hidden="false" customHeight="false" outlineLevel="0" collapsed="false">
      <c r="A76" s="2" t="n">
        <v>75</v>
      </c>
      <c r="B76" s="2" t="s">
        <v>215</v>
      </c>
      <c r="C76" s="2" t="n">
        <v>47825</v>
      </c>
      <c r="D76" s="2" t="s">
        <v>14</v>
      </c>
      <c r="E76" s="2" t="s">
        <v>216</v>
      </c>
      <c r="F76" s="2" t="s">
        <v>16</v>
      </c>
      <c r="G76" s="2" t="s">
        <v>217</v>
      </c>
      <c r="H76" s="2" t="s">
        <v>218</v>
      </c>
      <c r="I76" s="2" t="s">
        <v>19</v>
      </c>
      <c r="J76" s="3"/>
      <c r="K76" s="3"/>
      <c r="L76" s="2" t="s">
        <v>217</v>
      </c>
      <c r="M76" s="2" t="s">
        <v>218</v>
      </c>
    </row>
    <row r="77" customFormat="false" ht="57.45" hidden="false" customHeight="false" outlineLevel="0" collapsed="false">
      <c r="A77" s="2" t="n">
        <v>76</v>
      </c>
      <c r="B77" s="2" t="s">
        <v>219</v>
      </c>
      <c r="C77" s="2" t="n">
        <v>47606</v>
      </c>
      <c r="D77" s="2" t="s">
        <v>14</v>
      </c>
      <c r="E77" s="2" t="s">
        <v>20</v>
      </c>
      <c r="F77" s="2" t="s">
        <v>16</v>
      </c>
      <c r="G77" s="2" t="s">
        <v>220</v>
      </c>
      <c r="H77" s="2" t="s">
        <v>221</v>
      </c>
      <c r="I77" s="2" t="s">
        <v>19</v>
      </c>
      <c r="J77" s="3"/>
      <c r="K77" s="3"/>
      <c r="L77" s="2" t="s">
        <v>222</v>
      </c>
      <c r="M77" s="2" t="s">
        <v>223</v>
      </c>
    </row>
    <row r="78" customFormat="false" ht="57.45" hidden="false" customHeight="false" outlineLevel="0" collapsed="false">
      <c r="A78" s="2" t="n">
        <v>77</v>
      </c>
      <c r="B78" s="2" t="s">
        <v>224</v>
      </c>
      <c r="C78" s="2" t="n">
        <v>47589</v>
      </c>
      <c r="D78" s="2" t="s">
        <v>14</v>
      </c>
      <c r="E78" s="2" t="s">
        <v>225</v>
      </c>
      <c r="F78" s="2" t="s">
        <v>16</v>
      </c>
      <c r="G78" s="2" t="s">
        <v>226</v>
      </c>
      <c r="H78" s="2" t="s">
        <v>227</v>
      </c>
      <c r="I78" s="2" t="s">
        <v>19</v>
      </c>
      <c r="J78" s="3"/>
      <c r="K78" s="3"/>
      <c r="L78" s="2" t="s">
        <v>228</v>
      </c>
      <c r="M78" s="2" t="s">
        <v>229</v>
      </c>
    </row>
    <row r="79" customFormat="false" ht="57.45" hidden="false" customHeight="false" outlineLevel="0" collapsed="false">
      <c r="A79" s="2" t="n">
        <v>78</v>
      </c>
      <c r="B79" s="2" t="s">
        <v>230</v>
      </c>
      <c r="C79" s="2" t="n">
        <v>45830</v>
      </c>
      <c r="D79" s="2" t="s">
        <v>14</v>
      </c>
      <c r="E79" s="2" t="s">
        <v>231</v>
      </c>
      <c r="F79" s="2" t="s">
        <v>16</v>
      </c>
      <c r="G79" s="2" t="s">
        <v>232</v>
      </c>
      <c r="H79" s="2" t="s">
        <v>233</v>
      </c>
      <c r="I79" s="2" t="s">
        <v>19</v>
      </c>
      <c r="J79" s="3"/>
      <c r="K79" s="3"/>
      <c r="L79" s="2" t="s">
        <v>234</v>
      </c>
      <c r="M79" s="2" t="s">
        <v>235</v>
      </c>
    </row>
    <row r="80" customFormat="false" ht="91" hidden="false" customHeight="false" outlineLevel="0" collapsed="false">
      <c r="A80" s="2" t="n">
        <v>79</v>
      </c>
      <c r="B80" s="2" t="s">
        <v>230</v>
      </c>
      <c r="C80" s="2" t="n">
        <v>45830</v>
      </c>
      <c r="D80" s="2" t="s">
        <v>14</v>
      </c>
      <c r="E80" s="2" t="s">
        <v>231</v>
      </c>
      <c r="F80" s="2" t="s">
        <v>236</v>
      </c>
      <c r="G80" s="2" t="s">
        <v>237</v>
      </c>
      <c r="H80" s="2" t="s">
        <v>238</v>
      </c>
      <c r="I80" s="2" t="s">
        <v>239</v>
      </c>
      <c r="J80" s="3"/>
      <c r="K80" s="3"/>
      <c r="L80" s="2" t="s">
        <v>240</v>
      </c>
      <c r="M80" s="2" t="s">
        <v>241</v>
      </c>
    </row>
    <row r="81" customFormat="false" ht="46.25" hidden="false" customHeight="false" outlineLevel="0" collapsed="false">
      <c r="A81" s="2" t="n">
        <v>80</v>
      </c>
      <c r="B81" s="2" t="s">
        <v>242</v>
      </c>
      <c r="C81" s="2" t="n">
        <v>45409</v>
      </c>
      <c r="D81" s="2" t="s">
        <v>14</v>
      </c>
      <c r="E81" s="2" t="s">
        <v>243</v>
      </c>
      <c r="F81" s="2" t="s">
        <v>16</v>
      </c>
      <c r="G81" s="2" t="s">
        <v>244</v>
      </c>
      <c r="H81" s="2" t="s">
        <v>245</v>
      </c>
      <c r="I81" s="2"/>
      <c r="J81" s="3"/>
      <c r="K81" s="3"/>
      <c r="L81" s="2" t="s">
        <v>244</v>
      </c>
      <c r="M81" s="2" t="s">
        <v>245</v>
      </c>
    </row>
    <row r="82" customFormat="false" ht="35.05" hidden="false" customHeight="false" outlineLevel="0" collapsed="false">
      <c r="A82" s="2" t="n">
        <v>81</v>
      </c>
      <c r="B82" s="2" t="s">
        <v>242</v>
      </c>
      <c r="C82" s="2" t="n">
        <v>45409</v>
      </c>
      <c r="D82" s="2" t="s">
        <v>14</v>
      </c>
      <c r="E82" s="2" t="s">
        <v>246</v>
      </c>
      <c r="F82" s="2" t="s">
        <v>16</v>
      </c>
      <c r="G82" s="2" t="s">
        <v>247</v>
      </c>
      <c r="H82" s="2" t="s">
        <v>248</v>
      </c>
      <c r="I82" s="2"/>
      <c r="J82" s="3"/>
      <c r="K82" s="3"/>
      <c r="L82" s="2" t="s">
        <v>247</v>
      </c>
      <c r="M82" s="2" t="s">
        <v>248</v>
      </c>
    </row>
    <row r="83" customFormat="false" ht="57.45" hidden="false" customHeight="false" outlineLevel="0" collapsed="false">
      <c r="A83" s="2" t="n">
        <v>82</v>
      </c>
      <c r="B83" s="2" t="s">
        <v>242</v>
      </c>
      <c r="C83" s="2" t="n">
        <v>45409</v>
      </c>
      <c r="D83" s="2" t="s">
        <v>14</v>
      </c>
      <c r="E83" s="2" t="s">
        <v>249</v>
      </c>
      <c r="F83" s="2" t="s">
        <v>250</v>
      </c>
      <c r="G83" s="2" t="s">
        <v>251</v>
      </c>
      <c r="H83" s="2" t="s">
        <v>252</v>
      </c>
      <c r="I83" s="2" t="s">
        <v>253</v>
      </c>
      <c r="J83" s="3"/>
      <c r="K83" s="3"/>
      <c r="L83" s="2" t="s">
        <v>251</v>
      </c>
      <c r="M83" s="2" t="s">
        <v>252</v>
      </c>
    </row>
    <row r="84" customFormat="false" ht="57.45" hidden="false" customHeight="false" outlineLevel="0" collapsed="false">
      <c r="A84" s="2" t="n">
        <v>83</v>
      </c>
      <c r="B84" s="2" t="s">
        <v>242</v>
      </c>
      <c r="C84" s="2" t="n">
        <v>45409</v>
      </c>
      <c r="D84" s="2" t="s">
        <v>155</v>
      </c>
      <c r="E84" s="2" t="s">
        <v>254</v>
      </c>
      <c r="F84" s="2" t="s">
        <v>250</v>
      </c>
      <c r="G84" s="2" t="s">
        <v>251</v>
      </c>
      <c r="H84" s="2" t="s">
        <v>252</v>
      </c>
      <c r="I84" s="2" t="s">
        <v>255</v>
      </c>
      <c r="J84" s="3"/>
      <c r="K84" s="3"/>
      <c r="L84" s="2" t="s">
        <v>256</v>
      </c>
      <c r="M84" s="2" t="s">
        <v>257</v>
      </c>
    </row>
    <row r="85" customFormat="false" ht="46.25" hidden="false" customHeight="false" outlineLevel="0" collapsed="false">
      <c r="A85" s="2" t="n">
        <v>84</v>
      </c>
      <c r="B85" s="2" t="s">
        <v>242</v>
      </c>
      <c r="C85" s="2" t="n">
        <v>45409</v>
      </c>
      <c r="D85" s="2" t="s">
        <v>14</v>
      </c>
      <c r="E85" s="2" t="s">
        <v>258</v>
      </c>
      <c r="F85" s="2" t="s">
        <v>16</v>
      </c>
      <c r="G85" s="2" t="s">
        <v>259</v>
      </c>
      <c r="H85" s="2" t="s">
        <v>260</v>
      </c>
      <c r="I85" s="2"/>
      <c r="J85" s="3"/>
      <c r="K85" s="3"/>
      <c r="L85" s="2" t="s">
        <v>259</v>
      </c>
      <c r="M85" s="2" t="s">
        <v>260</v>
      </c>
    </row>
    <row r="86" customFormat="false" ht="57.45" hidden="false" customHeight="false" outlineLevel="0" collapsed="false">
      <c r="A86" s="2" t="n">
        <v>85</v>
      </c>
      <c r="B86" s="2" t="s">
        <v>242</v>
      </c>
      <c r="C86" s="2" t="n">
        <v>45409</v>
      </c>
      <c r="D86" s="2" t="s">
        <v>155</v>
      </c>
      <c r="E86" s="2" t="s">
        <v>261</v>
      </c>
      <c r="F86" s="2" t="s">
        <v>16</v>
      </c>
      <c r="G86" s="2" t="s">
        <v>259</v>
      </c>
      <c r="H86" s="2" t="s">
        <v>260</v>
      </c>
      <c r="I86" s="2" t="s">
        <v>262</v>
      </c>
      <c r="J86" s="3"/>
      <c r="K86" s="3"/>
      <c r="L86" s="2" t="s">
        <v>263</v>
      </c>
      <c r="M86" s="2" t="s">
        <v>264</v>
      </c>
    </row>
    <row r="87" customFormat="false" ht="35.05" hidden="false" customHeight="false" outlineLevel="0" collapsed="false">
      <c r="A87" s="2" t="n">
        <v>86</v>
      </c>
      <c r="B87" s="2" t="s">
        <v>265</v>
      </c>
      <c r="C87" s="2" t="n">
        <v>45030</v>
      </c>
      <c r="D87" s="2" t="s">
        <v>14</v>
      </c>
      <c r="E87" s="2" t="s">
        <v>266</v>
      </c>
      <c r="F87" s="2" t="s">
        <v>16</v>
      </c>
      <c r="G87" s="2" t="s">
        <v>267</v>
      </c>
      <c r="H87" s="2" t="s">
        <v>268</v>
      </c>
      <c r="I87" s="2"/>
      <c r="J87" s="3"/>
      <c r="K87" s="3"/>
      <c r="L87" s="2" t="s">
        <v>267</v>
      </c>
      <c r="M87" s="2" t="s">
        <v>268</v>
      </c>
    </row>
    <row r="88" customFormat="false" ht="57.45" hidden="false" customHeight="false" outlineLevel="0" collapsed="false">
      <c r="A88" s="2" t="n">
        <v>87</v>
      </c>
      <c r="B88" s="2" t="s">
        <v>265</v>
      </c>
      <c r="C88" s="2" t="n">
        <v>45030</v>
      </c>
      <c r="D88" s="2" t="s">
        <v>14</v>
      </c>
      <c r="E88" s="2" t="s">
        <v>269</v>
      </c>
      <c r="F88" s="2" t="s">
        <v>16</v>
      </c>
      <c r="G88" s="2" t="s">
        <v>270</v>
      </c>
      <c r="H88" s="2" t="s">
        <v>271</v>
      </c>
      <c r="I88" s="2"/>
      <c r="J88" s="3"/>
      <c r="K88" s="3"/>
      <c r="L88" s="2" t="s">
        <v>270</v>
      </c>
      <c r="M88" s="2" t="s">
        <v>271</v>
      </c>
    </row>
    <row r="89" customFormat="false" ht="57.45" hidden="false" customHeight="false" outlineLevel="0" collapsed="false">
      <c r="A89" s="2" t="n">
        <v>88</v>
      </c>
      <c r="B89" s="2" t="s">
        <v>265</v>
      </c>
      <c r="C89" s="2" t="n">
        <v>45030</v>
      </c>
      <c r="D89" s="2" t="s">
        <v>155</v>
      </c>
      <c r="E89" s="2" t="s">
        <v>272</v>
      </c>
      <c r="F89" s="2" t="s">
        <v>16</v>
      </c>
      <c r="G89" s="2" t="s">
        <v>270</v>
      </c>
      <c r="H89" s="2" t="s">
        <v>271</v>
      </c>
      <c r="I89" s="2" t="s">
        <v>262</v>
      </c>
      <c r="J89" s="3"/>
      <c r="K89" s="3"/>
      <c r="L89" s="2" t="s">
        <v>273</v>
      </c>
      <c r="M89" s="2" t="s">
        <v>274</v>
      </c>
    </row>
    <row r="90" customFormat="false" ht="68.65" hidden="false" customHeight="false" outlineLevel="0" collapsed="false">
      <c r="A90" s="4" t="n">
        <v>89</v>
      </c>
      <c r="B90" s="4" t="s">
        <v>275</v>
      </c>
      <c r="C90" s="4" t="n">
        <v>44973</v>
      </c>
      <c r="D90" s="4" t="s">
        <v>14</v>
      </c>
      <c r="E90" s="4" t="s">
        <v>276</v>
      </c>
      <c r="F90" s="4" t="s">
        <v>27</v>
      </c>
      <c r="G90" s="4" t="s">
        <v>277</v>
      </c>
      <c r="H90" s="4" t="s">
        <v>277</v>
      </c>
      <c r="I90" s="4" t="s">
        <v>278</v>
      </c>
      <c r="J90" s="3"/>
      <c r="K90" s="3"/>
      <c r="L90" s="2" t="s">
        <v>279</v>
      </c>
      <c r="M90" s="2" t="s">
        <v>279</v>
      </c>
    </row>
    <row r="91" customFormat="false" ht="79.85" hidden="false" customHeight="false" outlineLevel="0" collapsed="false">
      <c r="A91" s="2" t="n">
        <v>90</v>
      </c>
      <c r="B91" s="2" t="s">
        <v>275</v>
      </c>
      <c r="C91" s="2" t="n">
        <v>44973</v>
      </c>
      <c r="D91" s="2" t="s">
        <v>14</v>
      </c>
      <c r="E91" s="2" t="s">
        <v>280</v>
      </c>
      <c r="F91" s="2" t="s">
        <v>281</v>
      </c>
      <c r="G91" s="2" t="s">
        <v>282</v>
      </c>
      <c r="H91" s="2" t="s">
        <v>283</v>
      </c>
      <c r="I91" s="2" t="s">
        <v>284</v>
      </c>
      <c r="J91" s="3"/>
      <c r="K91" s="3"/>
      <c r="L91" s="2" t="s">
        <v>282</v>
      </c>
      <c r="M91" s="2" t="s">
        <v>283</v>
      </c>
    </row>
    <row r="92" customFormat="false" ht="57.45" hidden="false" customHeight="false" outlineLevel="0" collapsed="false">
      <c r="A92" s="2" t="n">
        <v>91</v>
      </c>
      <c r="B92" s="2" t="s">
        <v>275</v>
      </c>
      <c r="C92" s="2" t="n">
        <v>44973</v>
      </c>
      <c r="D92" s="2" t="s">
        <v>155</v>
      </c>
      <c r="E92" s="2" t="s">
        <v>285</v>
      </c>
      <c r="F92" s="2" t="s">
        <v>281</v>
      </c>
      <c r="G92" s="2" t="s">
        <v>282</v>
      </c>
      <c r="H92" s="2" t="s">
        <v>283</v>
      </c>
      <c r="I92" s="2" t="s">
        <v>286</v>
      </c>
      <c r="J92" s="3"/>
      <c r="K92" s="3"/>
      <c r="L92" s="2" t="s">
        <v>287</v>
      </c>
      <c r="M92" s="2" t="s">
        <v>288</v>
      </c>
    </row>
  </sheetData>
  <autoFilter ref="A1:K92"/>
  <dataValidations count="1">
    <dataValidation allowBlank="true" errorStyle="stop" operator="between" showDropDown="false" showErrorMessage="false" showInputMessage="false" sqref="J2:J92" type="list">
      <formula1>"Approve,Change,Reject"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55"/>
    <col collapsed="false" customWidth="true" hidden="false" outlineLevel="0" max="3" min="3" style="0" width="9"/>
    <col collapsed="false" customWidth="true" hidden="false" outlineLevel="0" max="4" min="4" style="0" width="45"/>
    <col collapsed="false" customWidth="true" hidden="false" outlineLevel="0" max="6" min="5" style="0" width="12"/>
    <col collapsed="false" customWidth="true" hidden="false" outlineLevel="0" max="7" min="7" style="0" width="40"/>
  </cols>
  <sheetData>
    <row r="1" customFormat="false" ht="23.85" hidden="false" customHeight="false" outlineLevel="0" collapsed="false">
      <c r="A1" s="1" t="s">
        <v>0</v>
      </c>
      <c r="B1" s="1" t="s">
        <v>1</v>
      </c>
      <c r="C1" s="1" t="s">
        <v>2</v>
      </c>
      <c r="D1" s="1" t="s">
        <v>289</v>
      </c>
      <c r="E1" s="1" t="s">
        <v>290</v>
      </c>
      <c r="F1" s="1" t="s">
        <v>291</v>
      </c>
      <c r="G1" s="1" t="s">
        <v>8</v>
      </c>
    </row>
    <row r="2" customFormat="false" ht="57.45" hidden="false" customHeight="false" outlineLevel="0" collapsed="false">
      <c r="A2" s="2" t="n">
        <v>1</v>
      </c>
      <c r="B2" s="2" t="s">
        <v>13</v>
      </c>
      <c r="C2" s="2" t="n">
        <v>50424</v>
      </c>
      <c r="D2" s="2" t="s">
        <v>292</v>
      </c>
      <c r="E2" s="2" t="n">
        <f aca="false">COUNTIF('Before-After'!$C:$C,C2)</f>
        <v>2</v>
      </c>
      <c r="F2" s="2" t="n">
        <f aca="false">COUNTIFS('Before-After'!$C:$C,C2,'Before-After'!$F:$F,"&lt;&gt;R3")</f>
        <v>2</v>
      </c>
      <c r="G2" s="2" t="s">
        <v>293</v>
      </c>
    </row>
    <row r="3" customFormat="false" ht="57.45" hidden="false" customHeight="false" outlineLevel="0" collapsed="false">
      <c r="A3" s="2" t="n">
        <v>2</v>
      </c>
      <c r="B3" s="2" t="s">
        <v>25</v>
      </c>
      <c r="C3" s="2" t="n">
        <v>50370</v>
      </c>
      <c r="D3" s="2" t="s">
        <v>294</v>
      </c>
      <c r="E3" s="2" t="n">
        <f aca="false">COUNTIF('Before-After'!$C:$C,C3)</f>
        <v>1</v>
      </c>
      <c r="F3" s="2" t="n">
        <f aca="false">COUNTIFS('Before-After'!$C:$C,C3,'Before-After'!$F:$F,"&lt;&gt;R3")</f>
        <v>0</v>
      </c>
      <c r="G3" s="2" t="s">
        <v>295</v>
      </c>
    </row>
    <row r="4" customFormat="false" ht="46.25" hidden="false" customHeight="false" outlineLevel="0" collapsed="false">
      <c r="A4" s="2" t="n">
        <v>3</v>
      </c>
      <c r="B4" s="2" t="s">
        <v>31</v>
      </c>
      <c r="C4" s="2" t="n">
        <v>50380</v>
      </c>
      <c r="D4" s="2" t="s">
        <v>296</v>
      </c>
      <c r="E4" s="2" t="n">
        <f aca="false">COUNTIF('Before-After'!$C:$C,C4)</f>
        <v>2</v>
      </c>
      <c r="F4" s="2" t="n">
        <f aca="false">COUNTIFS('Before-After'!$C:$C,C4,'Before-After'!$F:$F,"&lt;&gt;R3")</f>
        <v>2</v>
      </c>
      <c r="G4" s="2" t="s">
        <v>297</v>
      </c>
    </row>
    <row r="5" customFormat="false" ht="46.25" hidden="false" customHeight="false" outlineLevel="0" collapsed="false">
      <c r="A5" s="2" t="n">
        <v>4</v>
      </c>
      <c r="B5" s="2" t="s">
        <v>38</v>
      </c>
      <c r="C5" s="2" t="n">
        <v>50379</v>
      </c>
      <c r="D5" s="2" t="s">
        <v>298</v>
      </c>
      <c r="E5" s="2" t="n">
        <f aca="false">COUNTIF('Before-After'!$C:$C,C5)</f>
        <v>2</v>
      </c>
      <c r="F5" s="2" t="n">
        <f aca="false">COUNTIFS('Before-After'!$C:$C,C5,'Before-After'!$F:$F,"&lt;&gt;R3")</f>
        <v>2</v>
      </c>
      <c r="G5" s="2" t="s">
        <v>297</v>
      </c>
    </row>
    <row r="6" customFormat="false" ht="46.25" hidden="false" customHeight="false" outlineLevel="0" collapsed="false">
      <c r="A6" s="2" t="n">
        <v>5</v>
      </c>
      <c r="B6" s="2" t="s">
        <v>41</v>
      </c>
      <c r="C6" s="2" t="n">
        <v>50377</v>
      </c>
      <c r="D6" s="2" t="s">
        <v>299</v>
      </c>
      <c r="E6" s="2" t="n">
        <f aca="false">COUNTIF('Before-After'!$C:$C,C6)</f>
        <v>2</v>
      </c>
      <c r="F6" s="2" t="n">
        <f aca="false">COUNTIFS('Before-After'!$C:$C,C6,'Before-After'!$F:$F,"&lt;&gt;R3")</f>
        <v>2</v>
      </c>
      <c r="G6" s="2" t="s">
        <v>297</v>
      </c>
    </row>
    <row r="7" customFormat="false" ht="68.65" hidden="false" customHeight="false" outlineLevel="0" collapsed="false">
      <c r="A7" s="2" t="n">
        <v>6</v>
      </c>
      <c r="B7" s="2" t="s">
        <v>44</v>
      </c>
      <c r="C7" s="2" t="n">
        <v>50375</v>
      </c>
      <c r="D7" s="2" t="s">
        <v>300</v>
      </c>
      <c r="E7" s="2" t="n">
        <f aca="false">COUNTIF('Before-After'!$C:$C,C7)</f>
        <v>1</v>
      </c>
      <c r="F7" s="2" t="n">
        <f aca="false">COUNTIFS('Before-After'!$C:$C,C7,'Before-After'!$F:$F,"&lt;&gt;R3")</f>
        <v>1</v>
      </c>
      <c r="G7" s="2" t="s">
        <v>301</v>
      </c>
    </row>
    <row r="8" customFormat="false" ht="57.45" hidden="false" customHeight="false" outlineLevel="0" collapsed="false">
      <c r="A8" s="2" t="n">
        <v>7</v>
      </c>
      <c r="B8" s="2" t="s">
        <v>49</v>
      </c>
      <c r="C8" s="2" t="n">
        <v>50309</v>
      </c>
      <c r="D8" s="2" t="s">
        <v>302</v>
      </c>
      <c r="E8" s="2" t="n">
        <f aca="false">COUNTIF('Before-After'!$C:$C,C8)</f>
        <v>2</v>
      </c>
      <c r="F8" s="2" t="n">
        <f aca="false">COUNTIFS('Before-After'!$C:$C,C8,'Before-After'!$F:$F,"&lt;&gt;R3")</f>
        <v>0</v>
      </c>
      <c r="G8" s="2" t="s">
        <v>295</v>
      </c>
    </row>
    <row r="9" customFormat="false" ht="46.25" hidden="false" customHeight="false" outlineLevel="0" collapsed="false">
      <c r="A9" s="2" t="n">
        <v>8</v>
      </c>
      <c r="B9" s="2" t="s">
        <v>54</v>
      </c>
      <c r="C9" s="2" t="n">
        <v>50247</v>
      </c>
      <c r="D9" s="2" t="s">
        <v>303</v>
      </c>
      <c r="E9" s="2" t="n">
        <f aca="false">COUNTIF('Before-After'!$C:$C,C9)</f>
        <v>2</v>
      </c>
      <c r="F9" s="2" t="n">
        <f aca="false">COUNTIFS('Before-After'!$C:$C,C9,'Before-After'!$F:$F,"&lt;&gt;R3")</f>
        <v>2</v>
      </c>
      <c r="G9" s="2" t="s">
        <v>297</v>
      </c>
    </row>
    <row r="10" customFormat="false" ht="46.25" hidden="false" customHeight="false" outlineLevel="0" collapsed="false">
      <c r="A10" s="2" t="n">
        <v>9</v>
      </c>
      <c r="B10" s="2" t="s">
        <v>57</v>
      </c>
      <c r="C10" s="2" t="n">
        <v>50245</v>
      </c>
      <c r="D10" s="2" t="s">
        <v>304</v>
      </c>
      <c r="E10" s="2" t="n">
        <f aca="false">COUNTIF('Before-After'!$C:$C,C10)</f>
        <v>1</v>
      </c>
      <c r="F10" s="2" t="n">
        <f aca="false">COUNTIFS('Before-After'!$C:$C,C10,'Before-After'!$F:$F,"&lt;&gt;R3")</f>
        <v>1</v>
      </c>
      <c r="G10" s="2" t="s">
        <v>305</v>
      </c>
    </row>
    <row r="11" customFormat="false" ht="68.65" hidden="false" customHeight="false" outlineLevel="0" collapsed="false">
      <c r="A11" s="2" t="n">
        <v>10</v>
      </c>
      <c r="B11" s="2" t="s">
        <v>60</v>
      </c>
      <c r="C11" s="2" t="n">
        <v>50243</v>
      </c>
      <c r="D11" s="2" t="s">
        <v>306</v>
      </c>
      <c r="E11" s="2" t="n">
        <f aca="false">COUNTIF('Before-After'!$C:$C,C11)</f>
        <v>1</v>
      </c>
      <c r="F11" s="2" t="n">
        <f aca="false">COUNTIFS('Before-After'!$C:$C,C11,'Before-After'!$F:$F,"&lt;&gt;R3")</f>
        <v>1</v>
      </c>
      <c r="G11" s="2" t="s">
        <v>307</v>
      </c>
    </row>
    <row r="12" customFormat="false" ht="23.85" hidden="false" customHeight="false" outlineLevel="0" collapsed="false">
      <c r="A12" s="2" t="n">
        <v>11</v>
      </c>
      <c r="B12" s="2" t="s">
        <v>63</v>
      </c>
      <c r="C12" s="2" t="n">
        <v>50186</v>
      </c>
      <c r="D12" s="2" t="s">
        <v>308</v>
      </c>
      <c r="E12" s="2" t="n">
        <f aca="false">COUNTIF('Before-After'!$C:$C,C12)</f>
        <v>2</v>
      </c>
      <c r="F12" s="2" t="n">
        <f aca="false">COUNTIFS('Before-After'!$C:$C,C12,'Before-After'!$F:$F,"&lt;&gt;R3")</f>
        <v>2</v>
      </c>
      <c r="G12" s="2" t="s">
        <v>309</v>
      </c>
    </row>
    <row r="13" customFormat="false" ht="23.85" hidden="false" customHeight="false" outlineLevel="0" collapsed="false">
      <c r="A13" s="2" t="n">
        <v>12</v>
      </c>
      <c r="B13" s="2" t="s">
        <v>66</v>
      </c>
      <c r="C13" s="2" t="n">
        <v>50183</v>
      </c>
      <c r="D13" s="2" t="s">
        <v>310</v>
      </c>
      <c r="E13" s="2" t="n">
        <f aca="false">COUNTIF('Before-After'!$C:$C,C13)</f>
        <v>2</v>
      </c>
      <c r="F13" s="2" t="n">
        <f aca="false">COUNTIFS('Before-After'!$C:$C,C13,'Before-After'!$F:$F,"&lt;&gt;R3")</f>
        <v>2</v>
      </c>
      <c r="G13" s="2" t="s">
        <v>309</v>
      </c>
    </row>
    <row r="14" customFormat="false" ht="23.85" hidden="false" customHeight="false" outlineLevel="0" collapsed="false">
      <c r="A14" s="2" t="n">
        <v>13</v>
      </c>
      <c r="B14" s="2" t="s">
        <v>69</v>
      </c>
      <c r="C14" s="2" t="n">
        <v>50134</v>
      </c>
      <c r="D14" s="2" t="s">
        <v>311</v>
      </c>
      <c r="E14" s="2" t="n">
        <f aca="false">COUNTIF('Before-After'!$C:$C,C14)</f>
        <v>2</v>
      </c>
      <c r="F14" s="2" t="n">
        <f aca="false">COUNTIFS('Before-After'!$C:$C,C14,'Before-After'!$F:$F,"&lt;&gt;R3")</f>
        <v>2</v>
      </c>
      <c r="G14" s="2" t="s">
        <v>309</v>
      </c>
    </row>
    <row r="15" customFormat="false" ht="23.85" hidden="false" customHeight="false" outlineLevel="0" collapsed="false">
      <c r="A15" s="2" t="n">
        <v>14</v>
      </c>
      <c r="B15" s="2" t="s">
        <v>74</v>
      </c>
      <c r="C15" s="2" t="n">
        <v>50132</v>
      </c>
      <c r="D15" s="2" t="s">
        <v>312</v>
      </c>
      <c r="E15" s="2" t="n">
        <f aca="false">COUNTIF('Before-After'!$C:$C,C15)</f>
        <v>3</v>
      </c>
      <c r="F15" s="2" t="n">
        <f aca="false">COUNTIFS('Before-After'!$C:$C,C15,'Before-After'!$F:$F,"&lt;&gt;R3")</f>
        <v>3</v>
      </c>
      <c r="G15" s="2" t="s">
        <v>309</v>
      </c>
    </row>
    <row r="16" customFormat="false" ht="23.85" hidden="false" customHeight="false" outlineLevel="0" collapsed="false">
      <c r="A16" s="2" t="n">
        <v>15</v>
      </c>
      <c r="B16" s="2" t="s">
        <v>81</v>
      </c>
      <c r="C16" s="2" t="n">
        <v>50117</v>
      </c>
      <c r="D16" s="2" t="s">
        <v>313</v>
      </c>
      <c r="E16" s="2" t="n">
        <f aca="false">COUNTIF('Before-After'!$C:$C,C16)</f>
        <v>2</v>
      </c>
      <c r="F16" s="2" t="n">
        <f aca="false">COUNTIFS('Before-After'!$C:$C,C16,'Before-After'!$F:$F,"&lt;&gt;R3")</f>
        <v>2</v>
      </c>
      <c r="G16" s="2" t="s">
        <v>309</v>
      </c>
    </row>
    <row r="17" customFormat="false" ht="35.05" hidden="false" customHeight="false" outlineLevel="0" collapsed="false">
      <c r="A17" s="2" t="n">
        <v>16</v>
      </c>
      <c r="B17" s="2" t="s">
        <v>84</v>
      </c>
      <c r="C17" s="2" t="n">
        <v>50100</v>
      </c>
      <c r="D17" s="2" t="s">
        <v>314</v>
      </c>
      <c r="E17" s="2" t="n">
        <f aca="false">COUNTIF('Before-After'!$C:$C,C17)</f>
        <v>1</v>
      </c>
      <c r="F17" s="2" t="n">
        <f aca="false">COUNTIFS('Before-After'!$C:$C,C17,'Before-After'!$F:$F,"&lt;&gt;R3")</f>
        <v>1</v>
      </c>
      <c r="G17" s="2" t="s">
        <v>315</v>
      </c>
    </row>
    <row r="18" customFormat="false" ht="23.85" hidden="false" customHeight="false" outlineLevel="0" collapsed="false">
      <c r="A18" s="2" t="n">
        <v>17</v>
      </c>
      <c r="B18" s="2" t="s">
        <v>87</v>
      </c>
      <c r="C18" s="2" t="n">
        <v>50098</v>
      </c>
      <c r="D18" s="2" t="s">
        <v>316</v>
      </c>
      <c r="E18" s="2" t="n">
        <f aca="false">COUNTIF('Before-After'!$C:$C,C18)</f>
        <v>2</v>
      </c>
      <c r="F18" s="2" t="n">
        <f aca="false">COUNTIFS('Before-After'!$C:$C,C18,'Before-After'!$F:$F,"&lt;&gt;R3")</f>
        <v>2</v>
      </c>
      <c r="G18" s="2" t="s">
        <v>309</v>
      </c>
    </row>
    <row r="19" customFormat="false" ht="23.85" hidden="false" customHeight="false" outlineLevel="0" collapsed="false">
      <c r="A19" s="2" t="n">
        <v>18</v>
      </c>
      <c r="B19" s="2" t="s">
        <v>90</v>
      </c>
      <c r="C19" s="2" t="n">
        <v>50095</v>
      </c>
      <c r="D19" s="2" t="s">
        <v>317</v>
      </c>
      <c r="E19" s="2" t="n">
        <f aca="false">COUNTIF('Before-After'!$C:$C,C19)</f>
        <v>2</v>
      </c>
      <c r="F19" s="2" t="n">
        <f aca="false">COUNTIFS('Before-After'!$C:$C,C19,'Before-After'!$F:$F,"&lt;&gt;R3")</f>
        <v>2</v>
      </c>
      <c r="G19" s="2" t="s">
        <v>309</v>
      </c>
    </row>
    <row r="20" customFormat="false" ht="46.25" hidden="false" customHeight="false" outlineLevel="0" collapsed="false">
      <c r="A20" s="2" t="n">
        <v>19</v>
      </c>
      <c r="B20" s="2" t="s">
        <v>93</v>
      </c>
      <c r="C20" s="2" t="n">
        <v>50094</v>
      </c>
      <c r="D20" s="2" t="s">
        <v>318</v>
      </c>
      <c r="E20" s="2" t="n">
        <f aca="false">COUNTIF('Before-After'!$C:$C,C20)</f>
        <v>2</v>
      </c>
      <c r="F20" s="2" t="n">
        <f aca="false">COUNTIFS('Before-After'!$C:$C,C20,'Before-After'!$F:$F,"&lt;&gt;R3")</f>
        <v>2</v>
      </c>
      <c r="G20" s="2" t="s">
        <v>319</v>
      </c>
    </row>
    <row r="21" customFormat="false" ht="23.85" hidden="false" customHeight="false" outlineLevel="0" collapsed="false">
      <c r="A21" s="2" t="n">
        <v>20</v>
      </c>
      <c r="B21" s="2" t="s">
        <v>98</v>
      </c>
      <c r="C21" s="2" t="n">
        <v>50092</v>
      </c>
      <c r="D21" s="2" t="s">
        <v>320</v>
      </c>
      <c r="E21" s="2" t="n">
        <f aca="false">COUNTIF('Before-After'!$C:$C,C21)</f>
        <v>2</v>
      </c>
      <c r="F21" s="2" t="n">
        <f aca="false">COUNTIFS('Before-After'!$C:$C,C21,'Before-After'!$F:$F,"&lt;&gt;R3")</f>
        <v>2</v>
      </c>
      <c r="G21" s="2" t="s">
        <v>309</v>
      </c>
    </row>
    <row r="22" customFormat="false" ht="102.2" hidden="false" customHeight="false" outlineLevel="0" collapsed="false">
      <c r="A22" s="2" t="n">
        <v>21</v>
      </c>
      <c r="B22" s="2" t="s">
        <v>101</v>
      </c>
      <c r="C22" s="2" t="n">
        <v>50028</v>
      </c>
      <c r="D22" s="2" t="s">
        <v>321</v>
      </c>
      <c r="E22" s="2" t="n">
        <f aca="false">COUNTIF('Before-After'!$C:$C,C22)</f>
        <v>2</v>
      </c>
      <c r="F22" s="2" t="n">
        <f aca="false">COUNTIFS('Before-After'!$C:$C,C22,'Before-After'!$F:$F,"&lt;&gt;R3")</f>
        <v>0</v>
      </c>
      <c r="G22" s="2" t="s">
        <v>322</v>
      </c>
    </row>
    <row r="23" customFormat="false" ht="46.25" hidden="false" customHeight="false" outlineLevel="0" collapsed="false">
      <c r="A23" s="2" t="n">
        <v>22</v>
      </c>
      <c r="B23" s="2" t="s">
        <v>109</v>
      </c>
      <c r="C23" s="2" t="n">
        <v>49962</v>
      </c>
      <c r="D23" s="2" t="s">
        <v>323</v>
      </c>
      <c r="E23" s="2" t="n">
        <f aca="false">COUNTIF('Before-After'!$C:$C,C23)</f>
        <v>2</v>
      </c>
      <c r="F23" s="2" t="n">
        <f aca="false">COUNTIFS('Before-After'!$C:$C,C23,'Before-After'!$F:$F,"&lt;&gt;R3")</f>
        <v>2</v>
      </c>
      <c r="G23" s="2" t="s">
        <v>324</v>
      </c>
    </row>
    <row r="24" customFormat="false" ht="46.25" hidden="false" customHeight="false" outlineLevel="0" collapsed="false">
      <c r="A24" s="2" t="n">
        <v>23</v>
      </c>
      <c r="B24" s="2" t="s">
        <v>112</v>
      </c>
      <c r="C24" s="2" t="n">
        <v>49930</v>
      </c>
      <c r="D24" s="2" t="s">
        <v>325</v>
      </c>
      <c r="E24" s="2" t="n">
        <f aca="false">COUNTIF('Before-After'!$C:$C,C24)</f>
        <v>1</v>
      </c>
      <c r="F24" s="2" t="n">
        <f aca="false">COUNTIFS('Before-After'!$C:$C,C24,'Before-After'!$F:$F,"&lt;&gt;R3")</f>
        <v>1</v>
      </c>
      <c r="G24" s="2" t="s">
        <v>324</v>
      </c>
    </row>
    <row r="25" customFormat="false" ht="68.65" hidden="false" customHeight="false" outlineLevel="0" collapsed="false">
      <c r="A25" s="2" t="n">
        <v>24</v>
      </c>
      <c r="B25" s="2" t="s">
        <v>115</v>
      </c>
      <c r="C25" s="2" t="n">
        <v>49928</v>
      </c>
      <c r="D25" s="2" t="s">
        <v>326</v>
      </c>
      <c r="E25" s="2" t="n">
        <f aca="false">COUNTIF('Before-After'!$C:$C,C25)</f>
        <v>1</v>
      </c>
      <c r="F25" s="2" t="n">
        <f aca="false">COUNTIFS('Before-After'!$C:$C,C25,'Before-After'!$F:$F,"&lt;&gt;R3")</f>
        <v>1</v>
      </c>
      <c r="G25" s="2" t="s">
        <v>327</v>
      </c>
    </row>
    <row r="26" customFormat="false" ht="68.65" hidden="false" customHeight="false" outlineLevel="0" collapsed="false">
      <c r="A26" s="2" t="n">
        <v>25</v>
      </c>
      <c r="B26" s="2" t="s">
        <v>120</v>
      </c>
      <c r="C26" s="2" t="n">
        <v>49914</v>
      </c>
      <c r="D26" s="2" t="s">
        <v>328</v>
      </c>
      <c r="E26" s="2" t="n">
        <f aca="false">COUNTIF('Before-After'!$C:$C,C26)</f>
        <v>1</v>
      </c>
      <c r="F26" s="2" t="n">
        <f aca="false">COUNTIFS('Before-After'!$C:$C,C26,'Before-After'!$F:$F,"&lt;&gt;R3")</f>
        <v>1</v>
      </c>
      <c r="G26" s="2" t="s">
        <v>329</v>
      </c>
    </row>
    <row r="27" customFormat="false" ht="46.25" hidden="false" customHeight="false" outlineLevel="0" collapsed="false">
      <c r="A27" s="2" t="n">
        <v>26</v>
      </c>
      <c r="B27" s="2" t="s">
        <v>123</v>
      </c>
      <c r="C27" s="2" t="n">
        <v>49912</v>
      </c>
      <c r="D27" s="2" t="s">
        <v>330</v>
      </c>
      <c r="E27" s="2" t="n">
        <f aca="false">COUNTIF('Before-After'!$C:$C,C27)</f>
        <v>2</v>
      </c>
      <c r="F27" s="2" t="n">
        <f aca="false">COUNTIFS('Before-After'!$C:$C,C27,'Before-After'!$F:$F,"&lt;&gt;R3")</f>
        <v>2</v>
      </c>
      <c r="G27" s="2" t="s">
        <v>324</v>
      </c>
    </row>
    <row r="28" customFormat="false" ht="68.65" hidden="false" customHeight="false" outlineLevel="0" collapsed="false">
      <c r="A28" s="2" t="n">
        <v>27</v>
      </c>
      <c r="B28" s="2" t="s">
        <v>130</v>
      </c>
      <c r="C28" s="2" t="n">
        <v>49890</v>
      </c>
      <c r="D28" s="2" t="s">
        <v>331</v>
      </c>
      <c r="E28" s="2" t="n">
        <f aca="false">COUNTIF('Before-After'!$C:$C,C28)</f>
        <v>2</v>
      </c>
      <c r="F28" s="2" t="n">
        <f aca="false">COUNTIFS('Before-After'!$C:$C,C28,'Before-After'!$F:$F,"&lt;&gt;R3")</f>
        <v>2</v>
      </c>
      <c r="G28" s="2" t="s">
        <v>332</v>
      </c>
    </row>
    <row r="29" customFormat="false" ht="46.25" hidden="false" customHeight="false" outlineLevel="0" collapsed="false">
      <c r="A29" s="2" t="n">
        <v>28</v>
      </c>
      <c r="B29" s="2" t="s">
        <v>137</v>
      </c>
      <c r="C29" s="2" t="n">
        <v>49811</v>
      </c>
      <c r="D29" s="2" t="s">
        <v>333</v>
      </c>
      <c r="E29" s="2" t="n">
        <f aca="false">COUNTIF('Before-After'!$C:$C,C29)</f>
        <v>2</v>
      </c>
      <c r="F29" s="2" t="n">
        <f aca="false">COUNTIFS('Before-After'!$C:$C,C29,'Before-After'!$F:$F,"&lt;&gt;R3")</f>
        <v>2</v>
      </c>
      <c r="G29" s="2" t="s">
        <v>324</v>
      </c>
    </row>
    <row r="30" customFormat="false" ht="68.65" hidden="false" customHeight="false" outlineLevel="0" collapsed="false">
      <c r="A30" s="2" t="n">
        <v>29</v>
      </c>
      <c r="B30" s="2" t="s">
        <v>144</v>
      </c>
      <c r="C30" s="2" t="n">
        <v>49788</v>
      </c>
      <c r="D30" s="2" t="s">
        <v>334</v>
      </c>
      <c r="E30" s="2" t="n">
        <f aca="false">COUNTIF('Before-After'!$C:$C,C30)</f>
        <v>1</v>
      </c>
      <c r="F30" s="2" t="n">
        <f aca="false">COUNTIFS('Before-After'!$C:$C,C30,'Before-After'!$F:$F,"&lt;&gt;R3")</f>
        <v>1</v>
      </c>
      <c r="G30" s="2" t="s">
        <v>335</v>
      </c>
    </row>
    <row r="31" customFormat="false" ht="57.45" hidden="false" customHeight="false" outlineLevel="0" collapsed="false">
      <c r="A31" s="2" t="n">
        <v>30</v>
      </c>
      <c r="B31" s="2" t="s">
        <v>149</v>
      </c>
      <c r="C31" s="2" t="n">
        <v>49701</v>
      </c>
      <c r="D31" s="2" t="s">
        <v>336</v>
      </c>
      <c r="E31" s="2" t="n">
        <f aca="false">COUNTIF('Before-After'!$C:$C,C31)</f>
        <v>4</v>
      </c>
      <c r="F31" s="2" t="n">
        <f aca="false">COUNTIFS('Before-After'!$C:$C,C31,'Before-After'!$F:$F,"&lt;&gt;R3")</f>
        <v>0</v>
      </c>
      <c r="G31" s="2" t="s">
        <v>337</v>
      </c>
    </row>
    <row r="32" customFormat="false" ht="35.05" hidden="false" customHeight="false" outlineLevel="0" collapsed="false">
      <c r="A32" s="2" t="n">
        <v>31</v>
      </c>
      <c r="B32" s="2" t="s">
        <v>158</v>
      </c>
      <c r="C32" s="2" t="n">
        <v>49685</v>
      </c>
      <c r="D32" s="2" t="s">
        <v>338</v>
      </c>
      <c r="E32" s="2" t="n">
        <f aca="false">COUNTIF('Before-After'!$C:$C,C32)</f>
        <v>1</v>
      </c>
      <c r="F32" s="2" t="n">
        <f aca="false">COUNTIFS('Before-After'!$C:$C,C32,'Before-After'!$F:$F,"&lt;&gt;R3")</f>
        <v>1</v>
      </c>
      <c r="G32" s="2" t="s">
        <v>339</v>
      </c>
    </row>
    <row r="33" customFormat="false" ht="35.05" hidden="false" customHeight="false" outlineLevel="0" collapsed="false">
      <c r="A33" s="2" t="n">
        <v>32</v>
      </c>
      <c r="B33" s="2" t="s">
        <v>161</v>
      </c>
      <c r="C33" s="2" t="n">
        <v>49556</v>
      </c>
      <c r="D33" s="2" t="s">
        <v>340</v>
      </c>
      <c r="E33" s="2" t="n">
        <f aca="false">COUNTIF('Before-After'!$C:$C,C33)</f>
        <v>3</v>
      </c>
      <c r="F33" s="2" t="n">
        <f aca="false">COUNTIFS('Before-After'!$C:$C,C33,'Before-After'!$F:$F,"&lt;&gt;R3")</f>
        <v>3</v>
      </c>
      <c r="G33" s="2" t="s">
        <v>339</v>
      </c>
    </row>
    <row r="34" customFormat="false" ht="35.05" hidden="false" customHeight="false" outlineLevel="0" collapsed="false">
      <c r="A34" s="2" t="n">
        <v>33</v>
      </c>
      <c r="B34" s="2" t="s">
        <v>168</v>
      </c>
      <c r="C34" s="2" t="n">
        <v>49095</v>
      </c>
      <c r="D34" s="2" t="s">
        <v>341</v>
      </c>
      <c r="E34" s="2" t="n">
        <f aca="false">COUNTIF('Before-After'!$C:$C,C34)</f>
        <v>2</v>
      </c>
      <c r="F34" s="2" t="n">
        <f aca="false">COUNTIFS('Before-After'!$C:$C,C34,'Before-After'!$F:$F,"&lt;&gt;R3")</f>
        <v>2</v>
      </c>
      <c r="G34" s="2" t="s">
        <v>339</v>
      </c>
    </row>
    <row r="35" customFormat="false" ht="35.05" hidden="false" customHeight="false" outlineLevel="0" collapsed="false">
      <c r="A35" s="2" t="n">
        <v>34</v>
      </c>
      <c r="B35" s="2" t="s">
        <v>173</v>
      </c>
      <c r="C35" s="2" t="n">
        <v>49006</v>
      </c>
      <c r="D35" s="2" t="s">
        <v>342</v>
      </c>
      <c r="E35" s="2" t="n">
        <f aca="false">COUNTIF('Before-After'!$C:$C,C35)</f>
        <v>2</v>
      </c>
      <c r="F35" s="2" t="n">
        <f aca="false">COUNTIFS('Before-After'!$C:$C,C35,'Before-After'!$F:$F,"&lt;&gt;R3")</f>
        <v>2</v>
      </c>
      <c r="G35" s="2" t="s">
        <v>339</v>
      </c>
    </row>
    <row r="36" customFormat="false" ht="35.05" hidden="false" customHeight="false" outlineLevel="0" collapsed="false">
      <c r="A36" s="2" t="n">
        <v>35</v>
      </c>
      <c r="B36" s="2" t="s">
        <v>176</v>
      </c>
      <c r="C36" s="2" t="n">
        <v>49004</v>
      </c>
      <c r="D36" s="2" t="s">
        <v>343</v>
      </c>
      <c r="E36" s="2" t="n">
        <f aca="false">COUNTIF('Before-After'!$C:$C,C36)</f>
        <v>1</v>
      </c>
      <c r="F36" s="2" t="n">
        <f aca="false">COUNTIFS('Before-After'!$C:$C,C36,'Before-After'!$F:$F,"&lt;&gt;R3")</f>
        <v>1</v>
      </c>
      <c r="G36" s="2" t="s">
        <v>339</v>
      </c>
    </row>
    <row r="37" customFormat="false" ht="35.05" hidden="false" customHeight="false" outlineLevel="0" collapsed="false">
      <c r="A37" s="2" t="n">
        <v>36</v>
      </c>
      <c r="B37" s="2" t="s">
        <v>179</v>
      </c>
      <c r="C37" s="2" t="n">
        <v>48994</v>
      </c>
      <c r="D37" s="2" t="s">
        <v>344</v>
      </c>
      <c r="E37" s="2" t="n">
        <f aca="false">COUNTIF('Before-After'!$C:$C,C37)</f>
        <v>1</v>
      </c>
      <c r="F37" s="2" t="n">
        <f aca="false">COUNTIFS('Before-After'!$C:$C,C37,'Before-After'!$F:$F,"&lt;&gt;R3")</f>
        <v>1</v>
      </c>
      <c r="G37" s="2" t="s">
        <v>339</v>
      </c>
    </row>
    <row r="38" customFormat="false" ht="35.05" hidden="false" customHeight="false" outlineLevel="0" collapsed="false">
      <c r="A38" s="2" t="n">
        <v>37</v>
      </c>
      <c r="B38" s="2" t="s">
        <v>182</v>
      </c>
      <c r="C38" s="2" t="n">
        <v>48932</v>
      </c>
      <c r="D38" s="2" t="s">
        <v>345</v>
      </c>
      <c r="E38" s="2" t="n">
        <f aca="false">COUNTIF('Before-After'!$C:$C,C38)</f>
        <v>1</v>
      </c>
      <c r="F38" s="2" t="n">
        <f aca="false">COUNTIFS('Before-After'!$C:$C,C38,'Before-After'!$F:$F,"&lt;&gt;R3")</f>
        <v>1</v>
      </c>
      <c r="G38" s="2" t="s">
        <v>339</v>
      </c>
    </row>
    <row r="39" customFormat="false" ht="35.05" hidden="false" customHeight="false" outlineLevel="0" collapsed="false">
      <c r="A39" s="2" t="n">
        <v>38</v>
      </c>
      <c r="B39" s="2" t="s">
        <v>185</v>
      </c>
      <c r="C39" s="2" t="n">
        <v>48871</v>
      </c>
      <c r="D39" s="2" t="s">
        <v>346</v>
      </c>
      <c r="E39" s="2" t="n">
        <f aca="false">COUNTIF('Before-After'!$C:$C,C39)</f>
        <v>1</v>
      </c>
      <c r="F39" s="2" t="n">
        <f aca="false">COUNTIFS('Before-After'!$C:$C,C39,'Before-After'!$F:$F,"&lt;&gt;R3")</f>
        <v>1</v>
      </c>
      <c r="G39" s="2" t="s">
        <v>339</v>
      </c>
    </row>
    <row r="40" customFormat="false" ht="35.05" hidden="false" customHeight="false" outlineLevel="0" collapsed="false">
      <c r="A40" s="2" t="n">
        <v>39</v>
      </c>
      <c r="B40" s="2" t="s">
        <v>188</v>
      </c>
      <c r="C40" s="2" t="n">
        <v>48844</v>
      </c>
      <c r="D40" s="2" t="s">
        <v>347</v>
      </c>
      <c r="E40" s="2" t="n">
        <f aca="false">COUNTIF('Before-After'!$C:$C,C40)</f>
        <v>2</v>
      </c>
      <c r="F40" s="2" t="n">
        <f aca="false">COUNTIFS('Before-After'!$C:$C,C40,'Before-After'!$F:$F,"&lt;&gt;R3")</f>
        <v>2</v>
      </c>
      <c r="G40" s="2" t="s">
        <v>339</v>
      </c>
    </row>
    <row r="41" customFormat="false" ht="35.05" hidden="false" customHeight="false" outlineLevel="0" collapsed="false">
      <c r="A41" s="2" t="n">
        <v>40</v>
      </c>
      <c r="B41" s="2" t="s">
        <v>193</v>
      </c>
      <c r="C41" s="2" t="n">
        <v>48320</v>
      </c>
      <c r="D41" s="2" t="s">
        <v>348</v>
      </c>
      <c r="E41" s="2" t="n">
        <f aca="false">COUNTIF('Before-After'!$C:$C,C41)</f>
        <v>3</v>
      </c>
      <c r="F41" s="2" t="n">
        <f aca="false">COUNTIFS('Before-After'!$C:$C,C41,'Before-After'!$F:$F,"&lt;&gt;R3")</f>
        <v>2</v>
      </c>
      <c r="G41" s="2" t="s">
        <v>339</v>
      </c>
    </row>
    <row r="42" customFormat="false" ht="79.85" hidden="false" customHeight="false" outlineLevel="0" collapsed="false">
      <c r="A42" s="2" t="n">
        <v>41</v>
      </c>
      <c r="B42" s="2" t="s">
        <v>203</v>
      </c>
      <c r="C42" s="2" t="n">
        <v>48225</v>
      </c>
      <c r="D42" s="2" t="s">
        <v>349</v>
      </c>
      <c r="E42" s="2" t="n">
        <f aca="false">COUNTIF('Before-After'!$C:$C,C42)</f>
        <v>1</v>
      </c>
      <c r="F42" s="2" t="n">
        <f aca="false">COUNTIFS('Before-After'!$C:$C,C42,'Before-After'!$F:$F,"&lt;&gt;R3")</f>
        <v>1</v>
      </c>
      <c r="G42" s="2" t="s">
        <v>350</v>
      </c>
    </row>
    <row r="43" customFormat="false" ht="35.05" hidden="false" customHeight="false" outlineLevel="0" collapsed="false">
      <c r="A43" s="2" t="n">
        <v>42</v>
      </c>
      <c r="B43" s="2" t="s">
        <v>207</v>
      </c>
      <c r="C43" s="2" t="n">
        <v>48129</v>
      </c>
      <c r="D43" s="2" t="s">
        <v>351</v>
      </c>
      <c r="E43" s="2" t="n">
        <f aca="false">COUNTIF('Before-After'!$C:$C,C43)</f>
        <v>1</v>
      </c>
      <c r="F43" s="2" t="n">
        <f aca="false">COUNTIFS('Before-After'!$C:$C,C43,'Before-After'!$F:$F,"&lt;&gt;R3")</f>
        <v>1</v>
      </c>
      <c r="G43" s="2" t="s">
        <v>352</v>
      </c>
    </row>
    <row r="44" customFormat="false" ht="79.85" hidden="false" customHeight="false" outlineLevel="0" collapsed="false">
      <c r="A44" s="2" t="n">
        <v>43</v>
      </c>
      <c r="B44" s="2" t="s">
        <v>211</v>
      </c>
      <c r="C44" s="2" t="n">
        <v>48044</v>
      </c>
      <c r="D44" s="2" t="s">
        <v>353</v>
      </c>
      <c r="E44" s="2" t="n">
        <f aca="false">COUNTIF('Before-After'!$C:$C,C44)</f>
        <v>1</v>
      </c>
      <c r="F44" s="2" t="n">
        <f aca="false">COUNTIFS('Before-After'!$C:$C,C44,'Before-After'!$F:$F,"&lt;&gt;R3")</f>
        <v>1</v>
      </c>
      <c r="G44" s="2" t="s">
        <v>354</v>
      </c>
    </row>
    <row r="45" customFormat="false" ht="68.65" hidden="false" customHeight="false" outlineLevel="0" collapsed="false">
      <c r="A45" s="2" t="n">
        <v>44</v>
      </c>
      <c r="B45" s="2" t="s">
        <v>215</v>
      </c>
      <c r="C45" s="2" t="n">
        <v>47825</v>
      </c>
      <c r="D45" s="2" t="s">
        <v>355</v>
      </c>
      <c r="E45" s="2" t="n">
        <f aca="false">COUNTIF('Before-After'!$C:$C,C45)</f>
        <v>1</v>
      </c>
      <c r="F45" s="2" t="n">
        <f aca="false">COUNTIFS('Before-After'!$C:$C,C45,'Before-After'!$F:$F,"&lt;&gt;R3")</f>
        <v>1</v>
      </c>
      <c r="G45" s="2" t="s">
        <v>356</v>
      </c>
    </row>
    <row r="46" customFormat="false" ht="68.65" hidden="false" customHeight="false" outlineLevel="0" collapsed="false">
      <c r="A46" s="2" t="n">
        <v>45</v>
      </c>
      <c r="B46" s="2" t="s">
        <v>219</v>
      </c>
      <c r="C46" s="2" t="n">
        <v>47606</v>
      </c>
      <c r="D46" s="2" t="s">
        <v>357</v>
      </c>
      <c r="E46" s="2" t="n">
        <f aca="false">COUNTIF('Before-After'!$C:$C,C46)</f>
        <v>1</v>
      </c>
      <c r="F46" s="2" t="n">
        <f aca="false">COUNTIFS('Before-After'!$C:$C,C46,'Before-After'!$F:$F,"&lt;&gt;R3")</f>
        <v>1</v>
      </c>
      <c r="G46" s="2" t="s">
        <v>358</v>
      </c>
    </row>
    <row r="47" customFormat="false" ht="57.45" hidden="false" customHeight="false" outlineLevel="0" collapsed="false">
      <c r="A47" s="2" t="n">
        <v>46</v>
      </c>
      <c r="B47" s="2" t="s">
        <v>224</v>
      </c>
      <c r="C47" s="2" t="n">
        <v>47589</v>
      </c>
      <c r="D47" s="2" t="s">
        <v>359</v>
      </c>
      <c r="E47" s="2" t="n">
        <f aca="false">COUNTIF('Before-After'!$C:$C,C47)</f>
        <v>1</v>
      </c>
      <c r="F47" s="2" t="n">
        <f aca="false">COUNTIFS('Before-After'!$C:$C,C47,'Before-After'!$F:$F,"&lt;&gt;R3")</f>
        <v>1</v>
      </c>
      <c r="G47" s="2" t="s">
        <v>360</v>
      </c>
    </row>
    <row r="48" customFormat="false" ht="57.45" hidden="false" customHeight="false" outlineLevel="0" collapsed="false">
      <c r="A48" s="2" t="n">
        <v>47</v>
      </c>
      <c r="B48" s="2" t="s">
        <v>230</v>
      </c>
      <c r="C48" s="2" t="n">
        <v>45830</v>
      </c>
      <c r="D48" s="2" t="s">
        <v>361</v>
      </c>
      <c r="E48" s="2" t="n">
        <f aca="false">COUNTIF('Before-After'!$C:$C,C48)</f>
        <v>2</v>
      </c>
      <c r="F48" s="2" t="n">
        <f aca="false">COUNTIFS('Before-After'!$C:$C,C48,'Before-After'!$F:$F,"&lt;&gt;R3")</f>
        <v>2</v>
      </c>
      <c r="G48" s="2" t="s">
        <v>362</v>
      </c>
    </row>
    <row r="49" customFormat="false" ht="113.4" hidden="false" customHeight="false" outlineLevel="0" collapsed="false">
      <c r="A49" s="2" t="n">
        <v>48</v>
      </c>
      <c r="B49" s="2" t="s">
        <v>242</v>
      </c>
      <c r="C49" s="2" t="n">
        <v>45409</v>
      </c>
      <c r="D49" s="2" t="s">
        <v>363</v>
      </c>
      <c r="E49" s="2" t="n">
        <f aca="false">COUNTIF('Before-After'!$C:$C,C49)</f>
        <v>6</v>
      </c>
      <c r="F49" s="2" t="n">
        <f aca="false">COUNTIFS('Before-After'!$C:$C,C49,'Before-After'!$F:$F,"&lt;&gt;R3")</f>
        <v>6</v>
      </c>
      <c r="G49" s="2" t="s">
        <v>364</v>
      </c>
    </row>
    <row r="50" customFormat="false" ht="113.4" hidden="false" customHeight="false" outlineLevel="0" collapsed="false">
      <c r="A50" s="2" t="n">
        <v>49</v>
      </c>
      <c r="B50" s="2" t="s">
        <v>265</v>
      </c>
      <c r="C50" s="2" t="n">
        <v>45030</v>
      </c>
      <c r="D50" s="2" t="s">
        <v>365</v>
      </c>
      <c r="E50" s="2" t="n">
        <f aca="false">COUNTIF('Before-After'!$C:$C,C50)</f>
        <v>3</v>
      </c>
      <c r="F50" s="2" t="n">
        <f aca="false">COUNTIFS('Before-After'!$C:$C,C50,'Before-After'!$F:$F,"&lt;&gt;R3")</f>
        <v>3</v>
      </c>
      <c r="G50" s="2" t="s">
        <v>364</v>
      </c>
    </row>
    <row r="51" customFormat="false" ht="113.4" hidden="false" customHeight="false" outlineLevel="0" collapsed="false">
      <c r="A51" s="2" t="n">
        <v>50</v>
      </c>
      <c r="B51" s="2" t="s">
        <v>275</v>
      </c>
      <c r="C51" s="2" t="n">
        <v>44973</v>
      </c>
      <c r="D51" s="2" t="s">
        <v>366</v>
      </c>
      <c r="E51" s="2" t="n">
        <f aca="false">COUNTIF('Before-After'!$C:$C,C51)</f>
        <v>3</v>
      </c>
      <c r="F51" s="2" t="n">
        <f aca="false">COUNTIFS('Before-After'!$C:$C,C51,'Before-After'!$F:$F,"&lt;&gt;R3")</f>
        <v>2</v>
      </c>
      <c r="G51" s="2" t="s">
        <v>367</v>
      </c>
    </row>
    <row r="52" customFormat="false" ht="15" hidden="false" customHeight="false" outlineLevel="0" collapsed="false">
      <c r="A52" s="5"/>
      <c r="B52" s="5"/>
      <c r="C52" s="5"/>
      <c r="D52" s="5" t="s">
        <v>368</v>
      </c>
      <c r="E52" s="5" t="n">
        <f aca="false">SUM(E2:E51)</f>
        <v>91</v>
      </c>
      <c r="F52" s="5" t="n">
        <f aca="false">SUM(F2:F51)</f>
        <v>80</v>
      </c>
      <c r="G52" s="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3" min="2" style="0" width="60"/>
  </cols>
  <sheetData>
    <row r="1" customFormat="false" ht="15" hidden="false" customHeight="false" outlineLevel="0" collapsed="false">
      <c r="A1" s="1" t="s">
        <v>5</v>
      </c>
      <c r="B1" s="1" t="s">
        <v>369</v>
      </c>
      <c r="C1" s="1" t="s">
        <v>370</v>
      </c>
    </row>
    <row r="2" customFormat="false" ht="15" hidden="false" customHeight="false" outlineLevel="0" collapsed="false">
      <c r="A2" s="2" t="s">
        <v>16</v>
      </c>
      <c r="B2" s="2" t="s">
        <v>371</v>
      </c>
      <c r="C2" s="2" t="s">
        <v>372</v>
      </c>
    </row>
    <row r="3" customFormat="false" ht="15" hidden="false" customHeight="false" outlineLevel="0" collapsed="false">
      <c r="A3" s="2" t="s">
        <v>373</v>
      </c>
      <c r="B3" s="2" t="s">
        <v>374</v>
      </c>
      <c r="C3" s="2" t="s">
        <v>375</v>
      </c>
    </row>
    <row r="4" customFormat="false" ht="15" hidden="false" customHeight="false" outlineLevel="0" collapsed="false">
      <c r="A4" s="2" t="s">
        <v>27</v>
      </c>
      <c r="B4" s="2" t="s">
        <v>376</v>
      </c>
      <c r="C4" s="2" t="s">
        <v>377</v>
      </c>
    </row>
    <row r="5" customFormat="false" ht="15" hidden="false" customHeight="false" outlineLevel="0" collapsed="false">
      <c r="A5" s="2" t="s">
        <v>236</v>
      </c>
      <c r="B5" s="2" t="s">
        <v>378</v>
      </c>
      <c r="C5" s="2" t="s">
        <v>379</v>
      </c>
    </row>
    <row r="6" customFormat="false" ht="15" hidden="false" customHeight="false" outlineLevel="0" collapsed="false">
      <c r="A6" s="2" t="s">
        <v>380</v>
      </c>
      <c r="B6" s="2" t="s">
        <v>381</v>
      </c>
      <c r="C6" s="2" t="s">
        <v>382</v>
      </c>
    </row>
    <row r="7" customFormat="false" ht="15" hidden="false" customHeight="false" outlineLevel="0" collapsed="false">
      <c r="A7" s="2" t="s">
        <v>383</v>
      </c>
      <c r="B7" s="2" t="s">
        <v>384</v>
      </c>
      <c r="C7" s="2" t="s">
        <v>385</v>
      </c>
    </row>
    <row r="8" customFormat="false" ht="15" hidden="false" customHeight="false" outlineLevel="0" collapsed="false">
      <c r="A8" s="2" t="s">
        <v>386</v>
      </c>
      <c r="B8" s="2" t="s">
        <v>387</v>
      </c>
      <c r="C8" s="2" t="s">
        <v>388</v>
      </c>
    </row>
    <row r="10" customFormat="false" ht="23.85" hidden="false" customHeight="true" outlineLevel="0" collapsed="false">
      <c r="A10" s="6" t="s">
        <v>389</v>
      </c>
      <c r="B10" s="6"/>
      <c r="C10" s="6"/>
    </row>
    <row r="11" customFormat="false" ht="15" hidden="false" customHeight="true" outlineLevel="0" collapsed="false">
      <c r="A11" s="6" t="s">
        <v>390</v>
      </c>
      <c r="B11" s="6"/>
      <c r="C11" s="6"/>
    </row>
    <row r="12" customFormat="false" ht="15" hidden="false" customHeight="true" outlineLevel="0" collapsed="false">
      <c r="A12" s="6" t="s">
        <v>391</v>
      </c>
      <c r="B12" s="6"/>
      <c r="C12" s="6"/>
    </row>
    <row r="13" customFormat="false" ht="15" hidden="false" customHeight="true" outlineLevel="0" collapsed="false">
      <c r="A13" s="6" t="s">
        <v>392</v>
      </c>
      <c r="B13" s="6"/>
      <c r="C13" s="6"/>
    </row>
    <row r="14" customFormat="false" ht="15" hidden="false" customHeight="true" outlineLevel="0" collapsed="false">
      <c r="A14" s="6" t="s">
        <v>393</v>
      </c>
      <c r="B14" s="6"/>
      <c r="C14" s="6"/>
    </row>
    <row r="15" customFormat="false" ht="15" hidden="false" customHeight="true" outlineLevel="0" collapsed="false">
      <c r="A15" s="6" t="s">
        <v>394</v>
      </c>
      <c r="B15" s="6"/>
      <c r="C15" s="6"/>
    </row>
  </sheetData>
  <mergeCells count="6">
    <mergeCell ref="A10:C10"/>
    <mergeCell ref="A11:C11"/>
    <mergeCell ref="A12:C12"/>
    <mergeCell ref="A13:C13"/>
    <mergeCell ref="A14:C14"/>
    <mergeCell ref="A15:C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2026-10-23T15:52:03Z</dcterms:created>
  <dc:creator>openpyxl</dc:creator>
  <dc:description/>
  <dc:language>en-US</dc:language>
  <cp:lastModifiedBy/>
  <dcterms:modified xsi:type="dcterms:W3CDTF">2026-10-23T15:52:03Z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