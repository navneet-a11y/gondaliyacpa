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efore-After" sheetId="1" state="visible" r:id="rId3"/>
    <sheet name="URLs" sheetId="2" state="visible" r:id="rId4"/>
    <sheet name="Rules" sheetId="3" state="visible" r:id="rId5"/>
  </sheets>
  <definedNames>
    <definedName function="false" hidden="true" localSheetId="0" name="_xlnm._FilterDatabase" vbProcedure="false">'Before-After'!$A$1:$K$123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<sst xmlns="http://schemas.openxmlformats.org/spreadsheetml/2006/main" count="1256" uniqueCount="498">
  <si>
    <t xml:space="preserve">#</t>
  </si>
  <si>
    <t xml:space="preserve">Page URL</t>
  </si>
  <si>
    <t xml:space="preserve">Page ID</t>
  </si>
  <si>
    <t xml:space="preserve">Where</t>
  </si>
  <si>
    <t xml:space="preserve">Section</t>
  </si>
  <si>
    <t xml:space="preserve">Rule</t>
  </si>
  <si>
    <t xml:space="preserve">Before (current text)</t>
  </si>
  <si>
    <t xml:space="preserve">After (proposed)</t>
  </si>
  <si>
    <t xml:space="preserve">Note</t>
  </si>
  <si>
    <t xml:space="preserve">Sharad decision</t>
  </si>
  <si>
    <t xml:space="preserve">Sharad comment</t>
  </si>
  <si>
    <t xml:space="preserve">Raw before (for applying)</t>
  </si>
  <si>
    <t xml:space="preserve">Raw after (for applying)</t>
  </si>
  <si>
    <t xml:space="preserve">https://gondaliyacpa.ca/accountant-for-storage-facility-owners/</t>
  </si>
  <si>
    <t xml:space="preserve">Visible</t>
  </si>
  <si>
    <t xml:space="preserve">FAQ</t>
  </si>
  <si>
    <t xml:space="preserve">R1</t>
  </si>
  <si>
    <t xml:space="preserve">royalties — is a specified investment business, and the income it earns is not active business income. The practical effect is that the roughly 12.2% Ontario combined rate on the first $500,000 of active business income is out of reach, and the income is taxed at the ordinary corporate rate instead.</t>
  </si>
  <si>
    <t xml:space="preserve">royalties — is a specified investment business, and the income it earns is not active business income. The practical effect is that the roughly 11.2% (12.2% before July 1, 2026) Ontario combined rate on the first $500,000 of active business income is out of reach, and the income is taxed at the ordinary corporate rate instead.</t>
  </si>
  <si>
    <t xml:space="preserve">Before starts at the em dash, which differs between visible (&amp;#8212;) and JSON-LD (-) copies, to stay unique. First R1 change on page; parenthetical added.</t>
  </si>
  <si>
    <t xml:space="preserve">royalties &amp;#8212; is a specified investment business, and the income it earns is not active business income. The practical effect is that the roughly 12.2% Ontario combined rate on the first $500,000 of active business income is out of reach, and the income is taxed at the ordinary corporate rate instead.</t>
  </si>
  <si>
    <t xml:space="preserve">royalties &amp;#8212; is a specified investment business, and the income it earns is not active business income. The practical effect is that the roughly 11.2% (12.2% before July 1, 2026) Ontario combined rate on the first $500,000 of active business income is out of reach, and the income is taxed at the ordinary corporate rate instead.</t>
  </si>
  <si>
    <t xml:space="preserve">JSON-LD</t>
  </si>
  <si>
    <t xml:space="preserve">royalties - is a specified investment business, and the income it earns is not active business income. The practical effect is that the roughly 12.2% Ontario combined rate on the first $500,000 of active business income is out of reach, and the income is taxed at the ordinary corporate rate instead.</t>
  </si>
  <si>
    <t xml:space="preserve">royalties - is a specified investment business, and the income it earns is not active business income. The practical effect is that the roughly 11.2% (12.2% before July 1, 2026) Ontario combined rate on the first $500,000 of active business income is out of reach, and the income is taxed at the ordinary corporate rate instead.</t>
  </si>
  <si>
    <t xml:space="preserve">Before starts at the em dash, which differs between visible (&amp;#8212;) and JSON-LD (-) copies, to stay unique. JSON-LD copy of the visible FAQ answer; mirrors the visible change including the parenthetical.</t>
  </si>
  <si>
    <t xml:space="preserve">https://gondaliyacpa.ca/accountant-for-djs/</t>
  </si>
  <si>
    <t xml:space="preserve">process step</t>
  </si>
  <si>
    <t xml:space="preserve">A CCPC pays something like 12.2% combined here below the $500,000 active business limit, where you would pay 53.53% at the top personally — but the saving survives only on money left in.</t>
  </si>
  <si>
    <t xml:space="preserve">A CCPC pays something like 11.2% (12.2% before July 1, 2026) combined here below the $500,000 active business limit, where you would pay 53.53% at the top personally — but the saving survives only on money left in.</t>
  </si>
  <si>
    <t xml:space="preserve">First R1 change on page; parenthetical added.</t>
  </si>
  <si>
    <t xml:space="preserve">A CCPC pays something like 12.2% combined here below the $500,000 active business limit, where you would pay 53.53% at the top personally &amp;#8212; but the saving survives only on money left in.</t>
  </si>
  <si>
    <t xml:space="preserve">A CCPC pays something like 11.2% (12.2% before July 1, 2026) combined here below the $500,000 active business limit, where you would pay 53.53% at the top personally &amp;#8212; but the saving survives only on money left in.</t>
  </si>
  <si>
    <t xml:space="preserve">expertise/service card</t>
  </si>
  <si>
    <t xml:space="preserve">Roughly 12.2% combined in Ontario, up to the $500,000 active business limit, against 53.53% personally, is a genuine gap.</t>
  </si>
  <si>
    <t xml:space="preserve">Roughly 11.2% combined in Ontario, up to the $500,000 active business limit, against 53.53% personally, is a genuine gap.</t>
  </si>
  <si>
    <t xml:space="preserve">Usually not yet. A corporation looks attractive on paper because active business income of a Canadian-controlled private corporation is taxed at roughly 12.2% combined in Ontario on the first $500,000, against a top combined personal rate of 53.53%.</t>
  </si>
  <si>
    <t xml:space="preserve">Usually not yet. A corporation looks attractive on paper because active business income of a Canadian-controlled private corporation is taxed at roughly 11.2% combined in Ontario on the first $500,000, against a top combined personal rate of 53.53%.</t>
  </si>
  <si>
    <t xml:space="preserve">Visible and JSON-LD copies are identical over a long span, so before starts at the distinguishing markup to stay unique.</t>
  </si>
  <si>
    <t xml:space="preserve">"&gt;Usually not yet. A corporation looks attractive on paper because active business income of a Canadian-controlled private corporation is taxed at roughly 12.2% combined in Ontario on the first $500,000, against a top combined personal rate of 53.53%.</t>
  </si>
  <si>
    <t xml:space="preserve">"&gt;Usually not yet. A corporation looks attractive on paper because active business income of a Canadian-controlled private corporation is taxed at roughly 11.2% combined in Ontario on the first $500,000, against a top combined personal rate of 53.53%.</t>
  </si>
  <si>
    <t xml:space="preserve">Visible and JSON-LD copies are identical over a long span, so before starts at the distinguishing markup to stay unique. JSON-LD copy of the visible FAQ answer; mirrors the visible change.</t>
  </si>
  <si>
    <t xml:space="preserve">:"Usually not yet. A corporation looks attractive on paper because active business income of a Canadian-controlled private corporation is taxed at roughly 12.2% combined in Ontario on the first $500,000, against a top combined personal rate of 53.53%.</t>
  </si>
  <si>
    <t xml:space="preserve">:"Usually not yet. A corporation looks attractive on paper because active business income of a Canadian-controlled private corporation is taxed at roughly 11.2% combined in Ontario on the first $500,000, against a top combined personal rate of 53.53%.</t>
  </si>
  <si>
    <t xml:space="preserve">https://gondaliyacpa.ca/accountant-for-musicians/</t>
  </si>
  <si>
    <t xml:space="preserve">Under section 125 the first $500,000 of active business income carries a combined Ontario rate near 12.2%, where the top personal rate reaches 53.53%.</t>
  </si>
  <si>
    <t xml:space="preserve">Under section 125 the first $500,000 of active business income carries a combined Ontario rate near 11.2% (12.2% before July 1, 2026), where the top personal rate reaches 53.53%.</t>
  </si>
  <si>
    <t xml:space="preserve">Where the freelance half has genuinely grown and retains profit, the section 125 small business deduction puts around 12.2% of combined Ontario tax on a corporation’s first $500,000, and that arithmetic repays examining carefully.</t>
  </si>
  <si>
    <t xml:space="preserve">Where the freelance half has genuinely grown and retains profit, the section 125 small business deduction puts around 11.2% of combined Ontario tax on a corporation’s first $500,000, and that arithmetic repays examining carefully.</t>
  </si>
  <si>
    <t xml:space="preserve">Where the freelance half has genuinely grown and retains profit, the section 125 small business deduction puts around 12.2% of combined Ontario tax on a corporation&amp;#8217;s first $500,000, and that arithmetic repays examining carefully.</t>
  </si>
  <si>
    <t xml:space="preserve">Where the freelance half has genuinely grown and retains profit, the section 125 small business deduction puts around 11.2% of combined Ontario tax on a corporation&amp;#8217;s first $500,000, and that arithmetic repays examining carefully.</t>
  </si>
  <si>
    <t xml:space="preserve">Where it does begin to make sense is a freelance half that has grown and is retaining profit: section 125 holds a corporation’s first $500,000 of active business income at a combined Ontario rate of roughly 12.2%, while the top personal rate in this province reaches 53.53%.</t>
  </si>
  <si>
    <t xml:space="preserve">Where it does begin to make sense is a freelance half that has grown and is retaining profit: section 125 holds a corporation’s first $500,000 of active business income at a combined Ontario rate of roughly 11.2%, while the top personal rate in this province reaches 53.53%.</t>
  </si>
  <si>
    <t xml:space="preserve">Where it does begin to make sense is a freelance half that has grown and is retaining profit: section 125 holds a corporation&amp;#8217;s first $500,000 of active business income at a combined Ontario rate of roughly 12.2%, while the top personal rate in this province reaches 53.53%.</t>
  </si>
  <si>
    <t xml:space="preserve">Where it does begin to make sense is a freelance half that has grown and is retaining profit: section 125 holds a corporation&amp;#8217;s first $500,000 of active business income at a combined Ontario rate of roughly 11.2%, while the top personal rate in this province reaches 53.53%.</t>
  </si>
  <si>
    <t xml:space="preserve">Where it does begin to make sense is a freelance half that has grown and is retaining profit: section 125 holds a corporation's first $500,000 of active business income at a combined Ontario rate of roughly 12.2%, while the top personal rate in this province reaches 53.53%.</t>
  </si>
  <si>
    <t xml:space="preserve">Where it does begin to make sense is a freelance half that has grown and is retaining profit: section 125 holds a corporation's first $500,000 of active business income at a combined Ontario rate of roughly 11.2%, while the top personal rate in this province reaches 53.53%.</t>
  </si>
  <si>
    <t xml:space="preserve">JSON-LD copy of the visible FAQ answer; mirrors the visible change.</t>
  </si>
  <si>
    <t xml:space="preserve">https://gondaliyacpa.ca/accountant-for-amazon-us-sellers-based-in-canada/</t>
  </si>
  <si>
    <t xml:space="preserve">CRA obligations card</t>
  </si>
  <si>
    <t xml:space="preserve">a combined Ontario rate of about 12.2% — a band that answers to profit and never to the gross figure on a marketplace dashboard.</t>
  </si>
  <si>
    <t xml:space="preserve">a combined Ontario rate of about 11.2% (12.2% before July 1, 2026) — a band that answers to profit and never to the gross figure on a marketplace dashboard.</t>
  </si>
  <si>
    <t xml:space="preserve">First R1 change on page; parenthetical placed after the closing &lt;/strong&gt; tag.</t>
  </si>
  <si>
    <t xml:space="preserve">a combined Ontario rate of about &lt;strong&gt;12.2%&lt;/strong&gt; &amp;mdash; a band that answers to profit and never to the gross figure on a marketplace dashboard.</t>
  </si>
  <si>
    <t xml:space="preserve">a combined Ontario rate of about &lt;strong&gt;11.2%&lt;/strong&gt; (12.2% before July 1, 2026) &amp;mdash; a band that answers to profit and never to the gross figure on a marketplace dashboard.</t>
  </si>
  <si>
    <t xml:space="preserve">Active business income up to $500,000 attracts a combined Ontario rate near 12.2% under section 125 of the Income Tax Act, and that band attaches to reconciled profit rather than to whatever figure a seller dashboard displays.</t>
  </si>
  <si>
    <t xml:space="preserve">Active business income up to $500,000 attracts a combined Ontario rate near 11.2% under section 125 of the Income Tax Act, and that band attaches to reconciled profit rather than to whatever figure a seller dashboard displays.</t>
  </si>
  <si>
    <t xml:space="preserve">How you take money out is settled once reconciled profit is known, with the first $500,000 of active business income attracting about 12.2% combined Ontario under section 125 of the Income Tax Act.</t>
  </si>
  <si>
    <t xml:space="preserve">How you take money out is settled once reconciled profit is known, with the first $500,000 of active business income attracting about 11.2% combined Ontario under section 125 of the Income Tax Act.</t>
  </si>
  <si>
    <t xml:space="preserve">final CTA</t>
  </si>
  <si>
    <t xml:space="preserve">Corporate returns built from that reconciliation, with about 12.2% combined Ontario reaching the first $500,000 of active business income under section 125 and read against profit rather than against a dashboard figure.</t>
  </si>
  <si>
    <t xml:space="preserve">Corporate returns built from that reconciliation, with about 11.2% combined Ontario reaching the first $500,000 of active business income under section 125 and read against profit rather than against a dashboard figure.</t>
  </si>
  <si>
    <t xml:space="preserve">https://gondaliyacpa.ca/accountant-for-foreign-investors-in-canadian-real-estate/</t>
  </si>
  <si>
    <t xml:space="preserve">The combined Ontario rate of about 12.2% on the first $500,000 of active business income is the figure most owners have in mind when they incorporate, and more than one condition stands between a non-resident-owned property company and it.</t>
  </si>
  <si>
    <t xml:space="preserve">The combined Ontario rate of about 11.2% (12.2% before July 1, 2026) on the first $500,000 of active business income is the figure most owners have in mind when they incorporate, and more than one condition stands between a non-resident-owned property company and it.</t>
  </si>
  <si>
    <t xml:space="preserve">case study card</t>
  </si>
  <si>
    <t xml:space="preserve">A non-resident investor registered an Ontario corporation to buy a Thornbury property, having been told abroad that a Canadian company would pay around 12.2% on its first $500,000.</t>
  </si>
  <si>
    <t xml:space="preserve">A non-resident investor registered an Ontario corporation to buy a Thornbury property, having been told abroad that a Canadian company would pay around 11.2% on its first $500,000.</t>
  </si>
  <si>
    <t xml:space="preserve">It depends on the exit you have in mind, and it is costed rather than assumed. Two points come up on nearly every call. First, incorporating does not by itself answer the Non-Resident Speculation Tax question, because whether a corporation counts as a foreign entity under Ontario's rules is decided by those rules read against your share register, and many owners incorporate expecting that to settle it. Second, the combined Ontario rate of about 12.2%</t>
  </si>
  <si>
    <t xml:space="preserve">It depends on the exit you have in mind, and it is costed rather than assumed. Two points come up on nearly every call. First, incorporating does not by itself answer the Non-Resident Speculation Tax question, because whether a corporation counts as a foreign entity under Ontario's rules is decided by those rules read against your share register, and many owners incorporate expecting that to settle it. Second, the combined Ontario rate of about 11.2%</t>
  </si>
  <si>
    <t xml:space="preserve">Visible and JSON-LD copies are identical over a long span, so before starts at the distinguishing markup to stay unique. Before ends at the rate because the visible and JSON-LD answers match word for word for ~450 chars on each side; length slightly over 400.</t>
  </si>
  <si>
    <t xml:space="preserve">"&gt;It depends on the exit you have in mind, and it is costed rather than assumed. Two points come up on nearly every call. First, incorporating does not by itself answer the Non-Resident Speculation Tax question, because whether a corporation counts as a foreign entity under Ontario's rules is decided by those rules read against your share register, and many owners incorporate expecting that to settle it. Second, the combined Ontario rate of about 12.2%</t>
  </si>
  <si>
    <t xml:space="preserve">"&gt;It depends on the exit you have in mind, and it is costed rather than assumed. Two points come up on nearly every call. First, incorporating does not by itself answer the Non-Resident Speculation Tax question, because whether a corporation counts as a foreign entity under Ontario's rules is decided by those rules read against your share register, and many owners incorporate expecting that to settle it. Second, the combined Ontario rate of about 11.2%</t>
  </si>
  <si>
    <t xml:space="preserve">Visible and JSON-LD copies are identical over a long span, so before starts at the distinguishing markup to stay unique. JSON-LD copy of the visible FAQ answer; mirrors the visible change. Before ends at the rate (identical text both sides).</t>
  </si>
  <si>
    <t xml:space="preserve">:"It depends on the exit you have in mind, and it is costed rather than assumed. Two points come up on nearly every call. First, incorporating does not by itself answer the Non-Resident Speculation Tax question, because whether a corporation counts as a foreign entity under Ontario's rules is decided by those rules read against your share register, and many owners incorporate expecting that to settle it. Second, the combined Ontario rate of about 12.2%</t>
  </si>
  <si>
    <t xml:space="preserve">:"It depends on the exit you have in mind, and it is costed rather than assumed. Two points come up on nearly every call. First, incorporating does not by itself answer the Non-Resident Speculation Tax question, because whether a corporation counts as a foreign entity under Ontario's rules is decided by those rules read against your share register, and many owners incorporate expecting that to settle it. Second, the combined Ontario rate of about 11.2%</t>
  </si>
  <si>
    <t xml:space="preserve">https://gondaliyacpa.ca/accountant-for-immigrants-with-foreign-assets/</t>
  </si>
  <si>
    <t xml:space="preserve">Where a company is put in place, section 125 brings the combined Ontario rate on the first $500,000 of active business income down to about 12.2%, and what follows from that rate is planned before the first year ends.</t>
  </si>
  <si>
    <t xml:space="preserve">Where a company is put in place, section 125 brings the combined Ontario rate on the first $500,000 of active business income down to about 11.2% (12.2% before July 1, 2026), and what follows from that rate is planned before the first year ends.</t>
  </si>
  <si>
    <t xml:space="preserve">https://gondaliyacpa.ca/accountant-for-green-card-holders-in-canada/</t>
  </si>
  <si>
    <t xml:space="preserve">We set the salary and dividend mix where you own a corporation, paying enough T4 salary to build RRSP room while keeping the Canadian side near the 12.2% small-business rate rather than 53.53%.</t>
  </si>
  <si>
    <t xml:space="preserve">We set the salary and dividend mix where you own a corporation, paying enough T4 salary to build RRSP room while keeping the Canadian side near the 11.2% (12.2% before July 1, 2026) small-business rate rather than 53.53%.</t>
  </si>
  <si>
    <t xml:space="preserve">https://gondaliyacpa.ca/accountant-for-us-citizens-living-in-canada/</t>
  </si>
  <si>
    <t xml:space="preserve">We keep your Canadian active income under the $500,000 Small Business Deduction limit using ITA section 125, so the Canadian side stays near 12.2% rather than a top personal rate of 53.53%.</t>
  </si>
  <si>
    <t xml:space="preserve">We keep your Canadian active income under the $500,000 Small Business Deduction limit using ITA section 125, so the Canadian side stays near 11.2% (12.2% before July 1, 2026) rather than a top personal rate of 53.53%.</t>
  </si>
  <si>
    <t xml:space="preserve">We protect the Small Business Deduction under ITA section 125 so active income stays near the 12.2% Ontario combined rate, and watch the associated-corporation rules where you control more than one company.</t>
  </si>
  <si>
    <t xml:space="preserve">We protect the Small Business Deduction under ITA section 125 so active income stays near the 11.2% Ontario combined rate, and watch the associated-corporation rules where you control more than one company.</t>
  </si>
  <si>
    <t xml:space="preserve">It worked exactly as intended here: active income taxed near 12.2%, surplus retained in the company, salary and dividends split to manage the personal rate.</t>
  </si>
  <si>
    <t xml:space="preserve">It worked exactly as intended here: active income taxed near 11.2%, surplus retained in the company, salary and dividends split to manage the personal rate.</t>
  </si>
  <si>
    <t xml:space="preserve">Substantially, and this is the one place where the standard Canadian answer can be actively wrong for you. On the Canadian side a CCPC is attractive for the usual reasons: roughly a 12.2% Ontario combined rate on the first $500,000 of active income under ITA section 125 against a top personal rate of 53.53%, with surplus retained in the company.</t>
  </si>
  <si>
    <t xml:space="preserve">Substantially, and this is the one place where the standard Canadian answer can be actively wrong for you. On the Canadian side a CCPC is attractive for the usual reasons: roughly an 11.2% Ontario combined rate on the first $500,000 of active income under ITA section 125 against a top personal rate of 53.53%, with surplus retained in the company.</t>
  </si>
  <si>
    <t xml:space="preserve">Visible and JSON-LD copies are identical over a long span, so before starts at the distinguishing markup to stay unique. Article changed from "a" to "an".</t>
  </si>
  <si>
    <t xml:space="preserve">"&gt;Substantially, and this is the one place where the standard Canadian answer can be actively wrong for you. On the Canadian side a CCPC is attractive for the usual reasons: roughly a 12.2% Ontario combined rate on the first $500,000 of active income under ITA section 125 against a top personal rate of 53.53%, with surplus retained in the company.</t>
  </si>
  <si>
    <t xml:space="preserve">"&gt;Substantially, and this is the one place where the standard Canadian answer can be actively wrong for you. On the Canadian side a CCPC is attractive for the usual reasons: roughly an 11.2% Ontario combined rate on the first $500,000 of active income under ITA section 125 against a top personal rate of 53.53%, with surplus retained in the company.</t>
  </si>
  <si>
    <t xml:space="preserve">Visible and JSON-LD copies are identical over a long span, so before starts at the distinguishing markup to stay unique. JSON-LD copy of the visible FAQ answer; mirrors the visible change. Article changed from "a" to "an".</t>
  </si>
  <si>
    <t xml:space="preserve">:"Substantially, and this is the one place where the standard Canadian answer can be actively wrong for you. On the Canadian side a CCPC is attractive for the usual reasons: roughly a 12.2% Ontario combined rate on the first $500,000 of active income under ITA section 125 against a top personal rate of 53.53%, with surplus retained in the company.</t>
  </si>
  <si>
    <t xml:space="preserve">:"Substantially, and this is the one place where the standard Canadian answer can be actively wrong for you. On the Canadian side a CCPC is attractive for the usual reasons: roughly an 11.2% Ontario combined rate on the first $500,000 of active income under ITA section 125 against a top personal rate of 53.53%, with surplus retained in the company.</t>
  </si>
  <si>
    <t xml:space="preserve">https://gondaliyacpa.ca/accountant-for-canadian-companies-expanding-to-the-us/</t>
  </si>
  <si>
    <t xml:space="preserve">We set the salary and dividend mix for the owners, paying enough T4 salary to build RRSP room while the balance flows as dividends, keeping combined tax near the 12.2% Ontario small-business rate rather than 53.53%.</t>
  </si>
  <si>
    <t xml:space="preserve">We set the salary and dividend mix for the owners, paying enough T4 salary to build RRSP room while the balance flows as dividends, keeping combined tax near the 11.2% (12.2% before July 1, 2026) Ontario small-business rate rather than 53.53%.</t>
  </si>
  <si>
    <t xml:space="preserve">We incorporate under the Ontario Business Corporations Act, giving you a separate legal entity and roughly the 12.2% Ontario small-business rate on active income against a top personal rate of 53.53%.</t>
  </si>
  <si>
    <t xml:space="preserve">We incorporate under the Ontario Business Corporations Act, giving you a separate legal entity and roughly the 11.2% Ontario small-business rate on active income against a top personal rate of 53.53%.</t>
  </si>
  <si>
    <t xml:space="preserve">https://gondaliyacpa.ca/accountant-for-digital-nomads/</t>
  </si>
  <si>
    <t xml:space="preserve">Where a Canadian company sits in the picture, section 125 brings the Ontario combined charge on active business income down to about 12.2% within a $500,000 ceiling, read against profit and never against billings.</t>
  </si>
  <si>
    <t xml:space="preserve">Where a Canadian company sits in the picture, section 125 brings the Ontario combined charge on active business income down to about 11.2% (12.2% before July 1, 2026) within a $500,000 ceiling, read against profit and never against billings.</t>
  </si>
  <si>
    <t xml:space="preserve">Where a Canadian company sits in the picture, &lt;strong&gt;section 125&lt;/strong&gt; brings the Ontario combined charge on active business income down to about 12.2% within a $500,000 ceiling, read against profit and never against billings.</t>
  </si>
  <si>
    <t xml:space="preserve">Where a Canadian company sits in the picture, &lt;strong&gt;section 125&lt;/strong&gt; brings the Ontario combined charge on active business income down to about 11.2% (12.2% before July 1, 2026) within a $500,000 ceiling, read against profit and never against billings.</t>
  </si>
  <si>
    <t xml:space="preserve">It depends on how much profit genuinely stays behind, which is the same test as for anybody else. The arithmetic is the familiar one. Amounts that stay inside a Canadian corporation meet a combined Ontario charge of something near 12.2% while they sit within the $500,000 active-business ceiling; take the same amounts out to live on and they run up a personal scale whose top is 53.53%.</t>
  </si>
  <si>
    <t xml:space="preserve">It depends on how much profit genuinely stays behind, which is the same test as for anybody else. The arithmetic is the familiar one. Amounts that stay inside a Canadian corporation meet a combined Ontario charge of something near 11.2% while they sit within the $500,000 active-business ceiling; take the same amounts out to live on and they run up a personal scale whose top is 53.53%.</t>
  </si>
  <si>
    <t xml:space="preserve">"&gt;It depends on how much profit genuinely stays behind, which is the same test as for anybody else. The arithmetic is the familiar one. Amounts that stay inside a Canadian corporation meet a combined Ontario charge of something near 12.2% while they sit within the $500,000 active-business ceiling; take the same amounts out to live on and they run up a personal scale whose top is 53.53%.</t>
  </si>
  <si>
    <t xml:space="preserve">"&gt;It depends on how much profit genuinely stays behind, which is the same test as for anybody else. The arithmetic is the familiar one. Amounts that stay inside a Canadian corporation meet a combined Ontario charge of something near 11.2% while they sit within the $500,000 active-business ceiling; take the same amounts out to live on and they run up a personal scale whose top is 53.53%.</t>
  </si>
  <si>
    <t xml:space="preserve">:"It depends on how much profit genuinely stays behind, which is the same test as for anybody else. The arithmetic is the familiar one. Amounts that stay inside a Canadian corporation meet a combined Ontario charge of something near 12.2% while they sit within the $500,000 active-business ceiling; take the same amounts out to live on and they run up a personal scale whose top is 53.53%.</t>
  </si>
  <si>
    <t xml:space="preserve">:"It depends on how much profit genuinely stays behind, which is the same test as for anybody else. The arithmetic is the familiar one. Amounts that stay inside a Canadian corporation meet a combined Ontario charge of something near 11.2% while they sit within the $500,000 active-business ceiling; take the same amounts out to live on and they run up a personal scale whose top is 53.53%.</t>
  </si>
  <si>
    <t xml:space="preserve">https://gondaliyacpa.ca/accountant-for-international-students-with-businesses/</t>
  </si>
  <si>
    <t xml:space="preserve">Incorporation services card</t>
  </si>
  <si>
    <t xml:space="preserve">Where profit genuinely stays behind in the company, section 125 brings the combined Ontario charge on its first $500,000 of active business income down to roughly 12.2%; where every dollar leaves to live on, you have bought a second return.</t>
  </si>
  <si>
    <t xml:space="preserve">Where profit genuinely stays behind in the company, section 125 brings the combined Ontario charge on its first $500,000 of active business income down to roughly 11.2% (12.2% before July 1, 2026); where every dollar leaves to live on, you have bought a second return.</t>
  </si>
  <si>
    <t xml:space="preserve">12.2% stated as current combined Ontario small business rate; 11.2% from July 1, 2026. First R1 change on page: parenthetical added.</t>
  </si>
  <si>
    <t xml:space="preserve">FAQ: Should I incorporate?</t>
  </si>
  <si>
    <t xml:space="preserve">It depends on where the profit is going, and here there is an extra factor most comparisons leave out. Where profit stays in the company, section 125 of the Income Tax Act applies a combined Ontario rate of about 12.2% to its first $500,000 of active business income, and the deferral that buys is real money.</t>
  </si>
  <si>
    <t xml:space="preserve">It depends on where the profit is going, and here there is an extra factor most comparisons leave out. Where profit stays in the company, section 125 of the Income Tax Act applies a combined Ontario rate of about 11.2% to its first $500,000 of active business income, and the deferral that buys is real money.</t>
  </si>
  <si>
    <t xml:space="preserve">12.2% stated as current combined Ontario small business rate; 11.2% from July 1, 2026.</t>
  </si>
  <si>
    <t xml:space="preserve">&lt;div class="sb-faq-a"&gt;It depends on where the profit is going, and here there is an extra factor most comparisons leave out. Where profit stays in the company, section 125 of the Income Tax Act applies a combined Ontario rate of about 12.2% to its first $500,000 of active business income, and the deferral that buys is real money.</t>
  </si>
  <si>
    <t xml:space="preserve">&lt;div class="sb-faq-a"&gt;It depends on where the profit is going, and here there is an extra factor most comparisons leave out. Where profit stays in the company, section 125 of the Income Tax Act applies a combined Ontario rate of about 11.2% to its first $500,000 of active business income, and the deferral that buys is real money.</t>
  </si>
  <si>
    <t xml:space="preserve">FAQ schema: Should I incorporate?</t>
  </si>
  <si>
    <t xml:space="preserve">12.2% stated as current combined Ontario small business rate; 11.2% from July 1, 2026. JSON-LD copy of the visible FAQ above; keep identical to visible wording.</t>
  </si>
  <si>
    <t xml:space="preserve">"text":"It depends on where the profit is going, and here there is an extra factor most comparisons leave out. Where profit stays in the company, section 125 of the Income Tax Act applies a combined Ontario rate of about 12.2% to its first $500,000 of active business income, and the deferral that buys is real money.</t>
  </si>
  <si>
    <t xml:space="preserve">"text":"It depends on where the profit is going, and here there is an extra factor most comparisons leave out. Where profit stays in the company, section 125 of the Income Tax Act applies a combined Ontario rate of about 11.2% to its first $500,000 of active business income, and the deferral that buys is real money.</t>
  </si>
  <si>
    <t xml:space="preserve">https://gondaliyacpa.ca/accountant-for-foreign-shareholders-of-canadian-corporations/</t>
  </si>
  <si>
    <t xml:space="preserve">Tax planning card</t>
  </si>
  <si>
    <t xml:space="preserve">Section 125 gives a corporation that qualifies for the small business deduction a combined Ontario rate near 12.2% on its first $500,000 of active business income, a figure read off active business income and not off turnover.</t>
  </si>
  <si>
    <t xml:space="preserve">Section 125 gives a corporation that qualifies for the small business deduction a combined Ontario rate near 11.2% (12.2% before July 1, 2026) on its first $500,000 of active business income, a figure read off active business income and not off turnover.</t>
  </si>
  <si>
    <t xml:space="preserve">https://gondaliyacpa.ca/accountant-for-pet-boarding-businesses/</t>
  </si>
  <si>
    <t xml:space="preserve">Tax planning service card</t>
  </si>
  <si>
    <t xml:space="preserve">We set the salary-versus-dividend mix for the owner, paying enough T4 salary to build RRSP room while the balance flows as dividends, so combined tax stays near the 12.2% Ontario small-business rate instead of 53.53%.</t>
  </si>
  <si>
    <t xml:space="preserve">We set the salary-versus-dividend mix for the owner, paying enough T4 salary to build RRSP room while the balance flows as dividends, so combined tax stays near the 11.2% (12.2% before July 1, 2026) Ontario small-business rate instead of 53.53%.</t>
  </si>
  <si>
    <t xml:space="preserve">We incorporate your boarding business under the Ontario Business Corporations Act, giving you limited liability and roughly the 12.2% Ontario small-business rate on the first $500,000 of active income against 53.53% personally.</t>
  </si>
  <si>
    <t xml:space="preserve">We incorporate your boarding business under the Ontario Business Corporations Act, giving you limited liability and roughly the 11.2% Ontario small-business rate on the first $500,000 of active income against 53.53% personally.</t>
  </si>
  <si>
    <t xml:space="preserve">FAQ: Should I incorporate my pet boarding business?</t>
  </si>
  <si>
    <t xml:space="preserve">Incorporating gives you limited liability, which matters in a business that takes custody of other people's animals on its own premises, plus roughly a 12.2% Ontario combined rate on the first $500,000 of active income under ITA section 125 against a personal rate up to 53.53% when unincorporated.</t>
  </si>
  <si>
    <t xml:space="preserve">Incorporating gives you limited liability, which matters in a business that takes custody of other people's animals on its own premises, plus roughly an 11.2% Ontario combined rate on the first $500,000 of active income under ITA section 125 against a personal rate up to 53.53% when unincorporated.</t>
  </si>
  <si>
    <t xml:space="preserve">&lt;div class="sb-faq-a"&gt;Incorporating gives you limited liability, which matters in a business that takes custody of other people's animals on its own premises, plus roughly a 12.2% Ontario combined rate on the first $500,000 of active income under ITA section 125 against a personal rate up to 53.53% when unincorporated.</t>
  </si>
  <si>
    <t xml:space="preserve">&lt;div class="sb-faq-a"&gt;Incorporating gives you limited liability, which matters in a business that takes custody of other people's animals on its own premises, plus roughly an 11.2% Ontario combined rate on the first $500,000 of active income under ITA section 125 against a personal rate up to 53.53% when unincorporated.</t>
  </si>
  <si>
    <t xml:space="preserve">FAQ schema: Should I incorporate my pet boarding business?</t>
  </si>
  <si>
    <t xml:space="preserve">"text":"Incorporating gives you limited liability, which matters in a business that takes custody of other people's animals on its own premises, plus roughly a 12.2% Ontario combined rate on the first $500,000 of active income under ITA section 125 against a personal rate up to 53.53% when unincorporated.</t>
  </si>
  <si>
    <t xml:space="preserve">"text":"Incorporating gives you limited liability, which matters in a business that takes custody of other people's animals on its own premises, plus roughly an 11.2% Ontario combined rate on the first $500,000 of active income under ITA section 125 against a personal rate up to 53.53% when unincorporated.</t>
  </si>
  <si>
    <t xml:space="preserve">https://gondaliyacpa.ca/accountant-for-pet-sitting-businesses/</t>
  </si>
  <si>
    <t xml:space="preserve">We set the salary and dividend mix for the owner, paying enough T4 salary to build RRSP room while the balance flows as dividends, so combined tax stays near the 12.2% Ontario small-business rate rather than 53.53%.</t>
  </si>
  <si>
    <t xml:space="preserve">We set the salary and dividend mix for the owner, paying enough T4 salary to build RRSP room while the balance flows as dividends, so combined tax stays near the 11.2% (12.2% before July 1, 2026) Ontario small-business rate rather than 53.53%.</t>
  </si>
  <si>
    <t xml:space="preserve">We incorporate your sitting business under the Ontario Business Corporations Act, giving you a separate legal entity and roughly the 12.2% Ontario small-business rate on active income against a top personal rate of 53.53%.</t>
  </si>
  <si>
    <t xml:space="preserve">We incorporate your sitting business under the Ontario Business Corporations Act, giving you a separate legal entity and roughly the 11.2% Ontario small-business rate on active income against a top personal rate of 53.53%.</t>
  </si>
  <si>
    <t xml:space="preserve">FAQ: Should I incorporate my pet sitting business?</t>
  </si>
  <si>
    <t xml:space="preserve">Incorporating gives you a separate legal entity, which matters in a business that holds client keys and works unsupervised inside occupied homes, plus roughly a 12.2% Ontario combined rate on the first $500,000 of active income under ITA section 125 against a personal rate up to 53.53% when unincorporated.</t>
  </si>
  <si>
    <t xml:space="preserve">Incorporating gives you a separate legal entity, which matters in a business that holds client keys and works unsupervised inside occupied homes, plus roughly an 11.2% Ontario combined rate on the first $500,000 of active income under ITA section 125 against a personal rate up to 53.53% when unincorporated.</t>
  </si>
  <si>
    <t xml:space="preserve">&lt;div class="sb-faq-a"&gt;Incorporating gives you a separate legal entity, which matters in a business that holds client keys and works unsupervised inside occupied homes, plus roughly a 12.2% Ontario combined rate on the first $500,000 of active income under ITA section 125 against a personal rate up to 53.53% when unincorporated.</t>
  </si>
  <si>
    <t xml:space="preserve">&lt;div class="sb-faq-a"&gt;Incorporating gives you a separate legal entity, which matters in a business that holds client keys and works unsupervised inside occupied homes, plus roughly an 11.2% Ontario combined rate on the first $500,000 of active income under ITA section 125 against a personal rate up to 53.53% when unincorporated.</t>
  </si>
  <si>
    <t xml:space="preserve">FAQ schema: Should I incorporate my pet sitting business?</t>
  </si>
  <si>
    <t xml:space="preserve">"text":"Incorporating gives you a separate legal entity, which matters in a business that holds client keys and works unsupervised inside occupied homes, plus roughly a 12.2% Ontario combined rate on the first $500,000 of active income under ITA section 125 against a personal rate up to 53.53% when unincorporated.</t>
  </si>
  <si>
    <t xml:space="preserve">"text":"Incorporating gives you a separate legal entity, which matters in a business that holds client keys and works unsupervised inside occupied homes, plus roughly an 11.2% Ontario combined rate on the first $500,000 of active income under ITA section 125 against a personal rate up to 53.53% when unincorporated.</t>
  </si>
  <si>
    <t xml:space="preserve">https://gondaliyacpa.ca/accountant-for-pet-grooming-businesses/</t>
  </si>
  <si>
    <t xml:space="preserve">We set the salary-and-dividend mix for the owner, paying enough T4 salary to build RRSP room while the balance flows as dividends, keeping combined tax near the 12.2% Ontario small-business rate instead of 53.53%.</t>
  </si>
  <si>
    <t xml:space="preserve">We set the salary-and-dividend mix for the owner, paying enough T4 salary to build RRSP room while the balance flows as dividends, keeping combined tax near the 11.2% (12.2% before July 1, 2026) Ontario small-business rate instead of 53.53%.</t>
  </si>
  <si>
    <t xml:space="preserve">We incorporate your grooming business under the Ontario Business Corporations Act, giving you limited liability and roughly the 12.2% Ontario combined small-business rate on the first $500,000 of active income against 53.53% personally.</t>
  </si>
  <si>
    <t xml:space="preserve">We incorporate your grooming business under the Ontario Business Corporations Act, giving you limited liability and roughly the 11.2% Ontario combined small-business rate on the first $500,000 of active income against 53.53% personally.</t>
  </si>
  <si>
    <t xml:space="preserve">FAQ: Should I incorporate my pet grooming business?</t>
  </si>
  <si>
    <t xml:space="preserve">Incorporating gives you limited liability plus roughly a 12.2% Ontario combined rate on the first $500,000 of active income under ITA section 125, against a personal rate reaching 53.53% when unincorporated.</t>
  </si>
  <si>
    <t xml:space="preserve">Incorporating gives you limited liability plus roughly an 11.2% Ontario combined rate on the first $500,000 of active income under ITA section 125, against a personal rate reaching 53.53% when unincorporated.</t>
  </si>
  <si>
    <t xml:space="preserve">&lt;div class="sb-faq-a"&gt;Incorporating gives you limited liability plus roughly a 12.2% Ontario combined rate on the first $500,000 of active income under ITA section 125, against a personal rate reaching 53.53% when unincorporated.</t>
  </si>
  <si>
    <t xml:space="preserve">&lt;div class="sb-faq-a"&gt;Incorporating gives you limited liability plus roughly an 11.2% Ontario combined rate on the first $500,000 of active income under ITA section 125, against a personal rate reaching 53.53% when unincorporated.</t>
  </si>
  <si>
    <t xml:space="preserve">FAQ schema: Should I incorporate my pet grooming business?</t>
  </si>
  <si>
    <t xml:space="preserve">"text":"Incorporating gives you limited liability plus roughly a 12.2% Ontario combined rate on the first $500,000 of active income under ITA section 125, against a personal rate reaching 53.53% when unincorporated.</t>
  </si>
  <si>
    <t xml:space="preserve">"text":"Incorporating gives you limited liability plus roughly an 11.2% Ontario combined rate on the first $500,000 of active income under ITA section 125, against a personal rate reaching 53.53% when unincorporated.</t>
  </si>
  <si>
    <t xml:space="preserve">https://gondaliyacpa.ca/accountant-for-dog-walking-businesses/</t>
  </si>
  <si>
    <t xml:space="preserve">We set the salary-versus-dividend mix for the owner, paying enough T4 salary to build RRSP room while the balance flows as dividends, so combined tax stays near the roughly 12.2% Ontario small-business rate instead of 53.53%.</t>
  </si>
  <si>
    <t xml:space="preserve">We set the salary-versus-dividend mix for the owner, paying enough T4 salary to build RRSP room while the balance flows as dividends, so combined tax stays near the roughly 11.2% (12.2% before July 1, 2026) Ontario small-business rate instead of 53.53%.</t>
  </si>
  <si>
    <t xml:space="preserve">We incorporate your walking business under the Ontario Business Corporations Act, giving you limited liability on the claims your service agreement creates and roughly the 12.2% Ontario small-business rate against 53.53% personally.</t>
  </si>
  <si>
    <t xml:space="preserve">We incorporate your walking business under the Ontario Business Corporations Act, giving you limited liability on the claims your service agreement creates and roughly the 11.2% Ontario small-business rate against 53.53% personally.</t>
  </si>
  <si>
    <t xml:space="preserve">FAQ: Should I incorporate my dog walking business?</t>
  </si>
  <si>
    <t xml:space="preserve">Incorporating gives you limited liability, which matters in a trade where an injury to an animal, a person or a client's property is a live exposure, plus roughly a 12.2% Ontario combined rate on the first $500,000 of active income under ITA section 125 against a personal rate up to 53.53% when unincorporated.</t>
  </si>
  <si>
    <t xml:space="preserve">Incorporating gives you limited liability, which matters in a trade where an injury to an animal, a person or a client's property is a live exposure, plus roughly an 11.2% Ontario combined rate on the first $500,000 of active income under ITA section 125 against a personal rate up to 53.53% when unincorporated.</t>
  </si>
  <si>
    <t xml:space="preserve">&lt;div class="sb-faq-a"&gt;Incorporating gives you limited liability, which matters in a trade where an injury to an animal, a person or a client's property is a live exposure, plus roughly a 12.2% Ontario combined rate on the first $500,000 of active income under ITA section 125 against a personal rate up to 53.53% when unincorporated.</t>
  </si>
  <si>
    <t xml:space="preserve">&lt;div class="sb-faq-a"&gt;Incorporating gives you limited liability, which matters in a trade where an injury to an animal, a person or a client's property is a live exposure, plus roughly an 11.2% Ontario combined rate on the first $500,000 of active income under ITA section 125 against a personal rate up to 53.53% when unincorporated.</t>
  </si>
  <si>
    <t xml:space="preserve">FAQ schema: Should I incorporate my dog walking business?</t>
  </si>
  <si>
    <t xml:space="preserve">"text":"Incorporating gives you limited liability, which matters in a trade where an injury to an animal, a person or a client's property is a live exposure, plus roughly a 12.2% Ontario combined rate on the first $500,000 of active income under ITA section 125 against a personal rate up to 53.53% when unincorporated.</t>
  </si>
  <si>
    <t xml:space="preserve">"text":"Incorporating gives you limited liability, which matters in a trade where an injury to an animal, a person or a client's property is a live exposure, plus roughly an 11.2% Ontario combined rate on the first $500,000 of active income under ITA section 125 against a personal rate up to 53.53% when unincorporated.</t>
  </si>
  <si>
    <t xml:space="preserve">https://gondaliyacpa.ca/lash-and-brow-studio-tax-filing-canada/</t>
  </si>
  <si>
    <t xml:space="preserve">What Lash and Brow Studio Tax Filing Is (Corporations paragraph)</t>
  </si>
  <si>
    <t xml:space="preserve">Corporations follow different rules from individuals and get the small business deduction under section 125 on the first $500,000 of active business income, roughly 12.2% in Ontario against 26.5% above it.</t>
  </si>
  <si>
    <t xml:space="preserve">Corporations follow different rules from individuals and get the small business deduction under section 125 on the first $500,000 of active business income, roughly 11.2% (12.2% before July 1, 2026) in Ontario against 26.5% above it.</t>
  </si>
  <si>
    <t xml:space="preserve">Corporations follow different rules from individuals and get the &lt;strong&gt;small business deduction&lt;/strong&gt; under section &lt;strong&gt;125&lt;/strong&gt; on the first &lt;strong&gt;$500,000&lt;/strong&gt; of active business income, roughly &lt;strong&gt;12.2%&lt;/strong&gt; in Ontario against 26.5% above it.</t>
  </si>
  <si>
    <t xml:space="preserve">Corporations follow different rules from individuals and get the &lt;strong&gt;small business deduction&lt;/strong&gt; under section &lt;strong&gt;125&lt;/strong&gt; on the first &lt;strong&gt;$500,000&lt;/strong&gt; of active business income, roughly &lt;strong&gt;11.2%&lt;/strong&gt; (12.2% before July 1, 2026) in Ontario against 26.5% above it.</t>
  </si>
  <si>
    <t xml:space="preserve">People Also Ask: Should the studio incorporate?</t>
  </si>
  <si>
    <t xml:space="preserve">A corporation gets the small business deduction under section 125 at roughly 12.2% in Ontario, which is a real deferral if you leave money in.</t>
  </si>
  <si>
    <t xml:space="preserve">A corporation gets the small business deduction under section 125 at roughly 11.2% in Ontario, which is a real deferral if you leave money in.</t>
  </si>
  <si>
    <t xml:space="preserve">A corporation gets the &lt;strong&gt;small business deduction&lt;/strong&gt; under section &lt;strong&gt;125&lt;/strong&gt; at roughly &lt;strong&gt;12.2%&lt;/strong&gt; in Ontario, which is a real deferral if you leave money in.</t>
  </si>
  <si>
    <t xml:space="preserve">A corporation gets the &lt;strong&gt;small business deduction&lt;/strong&gt; under section &lt;strong&gt;125&lt;/strong&gt; at roughly &lt;strong&gt;11.2%&lt;/strong&gt; in Ontario, which is a real deferral if you leave money in.</t>
  </si>
  <si>
    <t xml:space="preserve">https://gondaliyacpa.ca/software-reseller-taxes-canada/</t>
  </si>
  <si>
    <t xml:space="preserve">Income Reporting Requirements table (Corporation row)</t>
  </si>
  <si>
    <t xml:space="preserve">Small business deduction under section 125 on the first $500,000 — roughly 12.2% in Ontario against 26.5% above it</t>
  </si>
  <si>
    <t xml:space="preserve">Small business deduction under section 125 on the first $500,000 — roughly 11.2% (12.2% before July 1, 2026) in Ontario against 26.5% above it</t>
  </si>
  <si>
    <t xml:space="preserve">&lt;td&gt;Small business deduction under section &lt;strong&gt;125&lt;/strong&gt; on the first &lt;strong&gt;$500,000&lt;/strong&gt; &amp;mdash; roughly 12.2% in Ontario against 26.5% above it&lt;/td&gt;</t>
  </si>
  <si>
    <t xml:space="preserve">&lt;td&gt;Small business deduction under section &lt;strong&gt;125&lt;/strong&gt; on the first &lt;strong&gt;$500,000&lt;/strong&gt; &amp;mdash; roughly 11.2% (12.2% before July 1, 2026) in Ontario against 26.5% above it&lt;/td&gt;</t>
  </si>
  <si>
    <t xml:space="preserve">https://gondaliyacpa.ca/denturist-tax-mistakes-canada/</t>
  </si>
  <si>
    <t xml:space="preserve">Denturist Business Taxes: Overview (Corporate Income Tax bullet)</t>
  </si>
  <si>
    <t xml:space="preserve">Active business income gets the small business deduction under section 125 on the first $500,000, which in Ontario is roughly 12.2% against 26.5% above it.</t>
  </si>
  <si>
    <t xml:space="preserve">Active business income gets the small business deduction under section 125 on the first $500,000, which in Ontario is roughly 11.2% (12.2% before July 1, 2026) against 26.5% above it.</t>
  </si>
  <si>
    <t xml:space="preserve">Active business income gets the &lt;strong&gt;small business deduction&lt;/strong&gt; under section &lt;strong&gt;125&lt;/strong&gt; on the first &lt;strong&gt;$500,000&lt;/strong&gt;, which in Ontario is roughly &lt;strong&gt;12.2%&lt;/strong&gt; against 26.5% above it.</t>
  </si>
  <si>
    <t xml:space="preserve">Active business income gets the &lt;strong&gt;small business deduction&lt;/strong&gt; under section &lt;strong&gt;125&lt;/strong&gt; on the first &lt;strong&gt;$500,000&lt;/strong&gt;, which in Ontario is roughly &lt;strong&gt;11.2%&lt;/strong&gt; (12.2% before July 1, 2026) against 26.5% above it.</t>
  </si>
  <si>
    <t xml:space="preserve">https://gondaliyacpa.ca/salary-vs-dividend-2027/</t>
  </si>
  <si>
    <t xml:space="preserve">2026 vs 2027 comparison table (combined small business rate row)</t>
  </si>
  <si>
    <t xml:space="preserve">R3</t>
  </si>
  <si>
    <t xml:space="preserve">12.2% before July 1, 2026; 11.2% from July 1, 2026</t>
  </si>
  <si>
    <t xml:space="preserve">States 12.2% only for the period before July 1, 2026; already correct.</t>
  </si>
  <si>
    <t xml:space="preserve">&lt;td&gt;12.2% before July 1, 2026; 11.2% from July 1, 2026&lt;/td&gt;</t>
  </si>
  <si>
    <t xml:space="preserve">The corporate side: 11.2% on the first $500,000</t>
  </si>
  <si>
    <t xml:space="preserve">Ontario cut its small business rate from 3.2% to 2.2% on July 1, 2026.</t>
  </si>
  <si>
    <t xml:space="preserve">3.2% described as the former rate, before July 1, 2026; already correct.</t>
  </si>
  <si>
    <t xml:space="preserve">The combined federal and Ontario rate on the first $500,000 of active business income fell from 12.2% to 11.2%, and associated corporations share that $500,000 limit.</t>
  </si>
  <si>
    <t xml:space="preserve">12.2% described as the former rate; already correct.</t>
  </si>
  <si>
    <t xml:space="preserve">Salary vs dividend comparison table (2026 pre-July row)</t>
  </si>
  <si>
    <t xml:space="preserve">2026 non-eligible dividend from income earned before July 1, 2026 (taxed at 12.2%); dividend rate 47.74%</t>
  </si>
  <si>
    <t xml:space="preserve">Tied to income earned before July 1, 2026; already correct.</t>
  </si>
  <si>
    <t xml:space="preserve">&lt;td&gt;2026 non-eligible dividend from income earned before July 1, 2026 (taxed at 12.2%); dividend rate 47.74%&lt;/td&gt;</t>
  </si>
  <si>
    <t xml:space="preserve">$12,200$87,800</t>
  </si>
  <si>
    <t xml:space="preserve">Corporate tax at 12.2% on $100,000 for income earned before July 1, 2026 (R3 row, not R4); leave.</t>
  </si>
  <si>
    <t xml:space="preserve">&lt;td&gt;$12,200&lt;/td&gt;&lt;td&gt;$87,800&lt;/td&gt;</t>
  </si>
  <si>
    <t xml:space="preserve">Salary vs dividend comparison discussion</t>
  </si>
  <si>
    <t xml:space="preserve">And income taxed at 12.2% before July 1, 2026 does a little worse as a dividend, because more corporate tax was paid first.</t>
  </si>
  <si>
    <t xml:space="preserve">Tied to income before July 1, 2026; already correct.</t>
  </si>
  <si>
    <t xml:space="preserve">Straddling taxation year paragraph</t>
  </si>
  <si>
    <t xml:space="preserve">If your corporation has a taxation year that straddles July 1, 2026, its rate for that year is a blend of 12.2% and 11.2%, prorated by days.</t>
  </si>
  <si>
    <t xml:space="preserve">Blended-rate explanation for straddle years; already correct.</t>
  </si>
  <si>
    <t xml:space="preserve">Action checklist</t>
  </si>
  <si>
    <t xml:space="preserve">A year that straddles July 1, 2026 pays a blend of 12.2% and 11.2%, prorated by days.</t>
  </si>
  <si>
    <t xml:space="preserve">https://gondaliyacpa.ca/no-code-development-agency-tax-canada/</t>
  </si>
  <si>
    <t xml:space="preserve">Key tax rules list (small business deduction bullet)</t>
  </si>
  <si>
    <t xml:space="preserve">In Ontario that is roughly 12.2% on eligible income against 26.5% above it.</t>
  </si>
  <si>
    <t xml:space="preserve">In Ontario that is roughly 11.2% (12.2% before July 1, 2026) on eligible income against 26.5% above it.</t>
  </si>
  <si>
    <t xml:space="preserve">First R1 on page.</t>
  </si>
  <si>
    <t xml:space="preserve">In Ontario that is roughly &lt;strong&gt;12.2%&lt;/strong&gt; on eligible income against &lt;strong&gt;26.5%&lt;/strong&gt; above it.</t>
  </si>
  <si>
    <t xml:space="preserve">In Ontario that is roughly &lt;strong&gt;11.2%&lt;/strong&gt; (12.2% before July 1, 2026) on eligible income against &lt;strong&gt;26.5%&lt;/strong&gt; above it.</t>
  </si>
  <si>
    <t xml:space="preserve">Personal services business section</t>
  </si>
  <si>
    <t xml:space="preserve">In Ontario that is roughly 44.5% on income that would otherwise have been taxed at about 12.2%, on a base with almost no deductions against it.</t>
  </si>
  <si>
    <t xml:space="preserve">In Ontario that is roughly 44.5% on income that would otherwise have been taxed at about 11.2%, on a base with almost no deductions against it.</t>
  </si>
  <si>
    <t xml:space="preserve">In Ontario that is roughly &lt;strong&gt;44.5%&lt;/strong&gt; on income that would otherwise have been taxed at about &lt;strong&gt;12.2%&lt;/strong&gt;, on a base with almost no deductions against it.</t>
  </si>
  <si>
    <t xml:space="preserve">In Ontario that is roughly &lt;strong&gt;44.5%&lt;/strong&gt; on income that would otherwise have been taxed at about &lt;strong&gt;11.2%&lt;/strong&gt;, on a base with almost no deductions against it.</t>
  </si>
  <si>
    <t xml:space="preserve">https://gondaliyacpa.ca/newcomer-business-owner-tax-filing-canada/</t>
  </si>
  <si>
    <t xml:space="preserve">Summary table row: Small business deduction</t>
  </si>
  <si>
    <t xml:space="preserve">Section 125, giving 12.2% combined in Ontario on the first $500,000 of active business income</t>
  </si>
  <si>
    <t xml:space="preserve">Section 125, giving 11.2% (12.2% before July 1, 2026) combined in Ontario on the first $500,000 of active business income</t>
  </si>
  <si>
    <t xml:space="preserve">&lt;td&gt;Section &lt;strong&gt;125&lt;/strong&gt;, giving &lt;strong&gt;12.2%&lt;/strong&gt; combined in Ontario on the first $500,000 of active business income&lt;/td&gt;</t>
  </si>
  <si>
    <t xml:space="preserve">&lt;td&gt;Section &lt;strong&gt;125&lt;/strong&gt;, giving &lt;strong&gt;11.2%&lt;/strong&gt; (12.2% before July 1, 2026) combined in Ontario on the first $500,000 of active business income&lt;/td&gt;</t>
  </si>
  <si>
    <t xml:space="preserve">https://gondaliyacpa.ca/supplement-brand-tax-accounting-canada/</t>
  </si>
  <si>
    <t xml:space="preserve">What changed callout</t>
  </si>
  <si>
    <t xml:space="preserve">The 2026 Ontario Budget, tabled 26 March 2026, also reduced the provincial small business corporate income tax rate from 3.2% to 2.2% effective 1 July 2026, taking the combined rate on the first $500,000 of active business income from 12.2% to 11.2%, with a blended rate for year-ends straddling that date.</t>
  </si>
  <si>
    <t xml:space="preserve">Already updated for the 2026 Ontario Budget; historical "from 12.2% to 11.2%" statement. Leave as is.</t>
  </si>
  <si>
    <t xml:space="preserve">https://gondaliyacpa.ca/accountant-for-virtual-assistants/</t>
  </si>
  <si>
    <t xml:space="preserve">Service card 1 (accounting/tax) bullet</t>
  </si>
  <si>
    <t xml:space="preserve">Section 125 holds roughly 12.2% combined in Ontario on the first $500,000 of active business income, and since the limit is measured on that income rather than on what you invoiced, large billings never touch it.</t>
  </si>
  <si>
    <t xml:space="preserve">Section 125 holds roughly 11.2% (12.2% before July 1, 2026) combined in Ontario on the first $500,000 of active business income, and since the limit is measured on that income rather than on what you invoiced, large billings never touch it.</t>
  </si>
  <si>
    <t xml:space="preserve">Service card 9 (Incorporation Services) bullet</t>
  </si>
  <si>
    <t xml:space="preserve">Profit retained by an Ontario corporation is charged at about 12.2% combined within the section 125 ceiling of $500,000, where identical earnings taken in your own name climb a scale ending at 53.53%.</t>
  </si>
  <si>
    <t xml:space="preserve">Profit retained by an Ontario corporation is charged at about 11.2% combined within the section 125 ceiling of $500,000, where identical earnings taken in your own name climb a scale ending at 53.53%.</t>
  </si>
  <si>
    <t xml:space="preserve">FAQ: Should I incorporate my virtual assistant business?</t>
  </si>
  <si>
    <t xml:space="preserve">It turns on how much profit stays behind. An Ontario corporation is charged about 12.2% combined on active business income within the $500,000 ceiling set by section 125 of the Income Tax Act;</t>
  </si>
  <si>
    <t xml:space="preserve">It turns on how much profit stays behind. An Ontario corporation is charged about 11.2% combined on active business income within the $500,000 ceiling set by section 125 of the Income Tax Act;</t>
  </si>
  <si>
    <t xml:space="preserve">&lt;div class="sb-faq-a"&gt;It turns on how much profit stays behind. An Ontario corporation is charged about 12.2% combined on active business income within the $500,000 ceiling set by section 125 of the Income Tax Act;</t>
  </si>
  <si>
    <t xml:space="preserve">&lt;div class="sb-faq-a"&gt;It turns on how much profit stays behind. An Ontario corporation is charged about 11.2% combined on active business income within the $500,000 ceiling set by section 125 of the Income Tax Act;</t>
  </si>
  <si>
    <t xml:space="preserve">FAQPage schema: Should I incorporate my virtual assistant business?</t>
  </si>
  <si>
    <t xml:space="preserve">JSON-LD copy of the visible FAQ above.</t>
  </si>
  <si>
    <t xml:space="preserve">"text":"It turns on how much profit stays behind. An Ontario corporation is charged about 12.2% combined on active business income within the $500,000 ceiling set by section 125 of the Income Tax Act;</t>
  </si>
  <si>
    <t xml:space="preserve">"text":"It turns on how much profit stays behind. An Ontario corporation is charged about 11.2% combined on active business income within the $500,000 ceiling set by section 125 of the Income Tax Act;</t>
  </si>
  <si>
    <t xml:space="preserve">https://gondaliyacpa.ca/engineering-consultant-tax-deductions-canada/</t>
  </si>
  <si>
    <t xml:space="preserve">Provincial rates table, Quebec row</t>
  </si>
  <si>
    <t xml:space="preserve">Quebec3.2% (12.2%); 2.2% (11.2%) announced for tax years beginning after April 29, 2026</t>
  </si>
  <si>
    <t xml:space="preserve">Quebec rate, not Ontario; Ontario row already shows 2.2% (11.2% combined). Leave as is.</t>
  </si>
  <si>
    <t xml:space="preserve">&lt;td&gt;Quebec&lt;/td&gt;&lt;td&gt;3.2% (12.2%); 2.2% (11.2%) announced for tax years beginning after April 29, 2026&lt;/td&gt;</t>
  </si>
  <si>
    <t xml:space="preserve">https://gondaliyacpa.ca/wholesale-ecommerce-accounting-canada/</t>
  </si>
  <si>
    <t xml:space="preserve">The 2026 Ontario Budget, tabled 26 March 2026, reduced the provincial small business corporate income tax rate from 3.2% to 2.2% effective 1 July 2026, taking the combined rate on the first $500,000 of active business income from 12.2% to 11.2%, with a blended rate for year-ends straddling that date.</t>
  </si>
  <si>
    <t xml:space="preserve">What changed callout (doubtful debt reserve)</t>
  </si>
  <si>
    <t xml:space="preserve">the deferral is worth 11.2% rather than 12.2% of the reserve.</t>
  </si>
  <si>
    <t xml:space="preserve">Contrast of new vs old rate; already correct. Leave as is.</t>
  </si>
  <si>
    <t xml:space="preserve">https://gondaliyacpa.ca/land-surveying-company-tax-planning-canada/</t>
  </si>
  <si>
    <t xml:space="preserve">Recent changes list: Ontario small business rate</t>
  </si>
  <si>
    <t xml:space="preserve">cut the provincial rate from 3.2% to 2.2% effective 1 July 2026, taking the combined rate on the first $500,000 of active business income from 12.2% to 11.2%.</t>
  </si>
  <si>
    <t xml:space="preserve">cut the provincial rate from 3.2% to 2.2% effective 1 July 2026, taking the combined rate on the first $500,000 of active business income from 12.2% to 11.2%.&lt;/li&gt;</t>
  </si>
  <si>
    <t xml:space="preserve">Impact analysis / recent changes paragraph</t>
  </si>
  <si>
    <t xml:space="preserve">And the 2026 Ontario Budget, tabled 26 March 2026, cut the provincial small business rate from 3.2% to 2.2% effective 1 July 2026, taking the combined rate on the first $500,000 of active business income from 12.2% to 11.2%.</t>
  </si>
  <si>
    <t xml:space="preserve">And the 2026 Ontario Budget, tabled 26 March 2026, cut the provincial small business rate from 3.2% to 2.2% effective 1 July 2026, taking the combined rate on the first $500,000 of active business income from 12.2% to 11.2%.&lt;/p&gt;</t>
  </si>
  <si>
    <t xml:space="preserve">https://gondaliyacpa.ca/cross-border-ecommerce-tax-canada/</t>
  </si>
  <si>
    <t xml:space="preserve">Recent changes paragraph</t>
  </si>
  <si>
    <t xml:space="preserve">The 2026 Ontario Budget, tabled 26 March 2026, cut the provincial small business rate from 3.2% to 2.2% effective 1 July 2026, taking the combined rate on the first $500,000 of active business income from 12.2% to 11.2%.</t>
  </si>
  <si>
    <t xml:space="preserve">https://gondaliyacpa.ca/first-year-corporate-taxes-canada/</t>
  </si>
  <si>
    <t xml:space="preserve">Quick reference table: Ontario small business rate</t>
  </si>
  <si>
    <t xml:space="preserve">11.2% combined on the first $500,000 from July 1, 2026 (12.2% before)</t>
  </si>
  <si>
    <t xml:space="preserve">Already updated; 12.2% tied to pre-July 1, 2026. Leave as is.</t>
  </si>
  <si>
    <t xml:space="preserve">&lt;td&gt;11.2% combined on the first $500,000 from July 1, 2026 (12.2% before)&lt;/td&gt;</t>
  </si>
  <si>
    <t xml:space="preserve">https://gondaliyacpa.ca/accountant-for-portfolio-managers/</t>
  </si>
  <si>
    <t xml:space="preserve">Our Actual Experience case study</t>
  </si>
  <si>
    <t xml:space="preserve">Active management fee income that should have been taxed near 12.2% was being taxed at the general corporate rate instead.</t>
  </si>
  <si>
    <t xml:space="preserve">Past client case study describing earlier years (income before July 1, 2026), so the 12.2% was the rate at the time. Leave as is; Sharad to confirm if he prefers 11.2%.</t>
  </si>
  <si>
    <t xml:space="preserve">https://gondaliyacpa.ca/gutter-cleaning-business-taxes-canada/</t>
  </si>
  <si>
    <t xml:space="preserve">Our Actual Experience callout (business structure)</t>
  </si>
  <si>
    <t xml:space="preserve">After incorporating, the owner drew $70,000 in salary and left the rest in the company at 12.2%.</t>
  </si>
  <si>
    <t xml:space="preserve">After incorporating, the owner drew $70,000 in salary and left the rest in the company at 11.2% (12.2% before July 1, 2026).</t>
  </si>
  <si>
    <t xml:space="preserve">Undated client anecdote, treated as current rate. Following 'That deferred roughly $20,000 of tax a year' still holds approximately: $70,000 retained x (personal ~40% - 12.2%) = ~$19,460; at 11.2% = ~$20,160, so 'roughly $20,000' can stay. Sharad to confirm figure. If the anecdote predates July 2026, R3 leave is an option.</t>
  </si>
  <si>
    <t xml:space="preserve">https://gondaliyacpa.ca/marine-repair-business-taxes-canada/</t>
  </si>
  <si>
    <t xml:space="preserve">Small business deduction paragraph</t>
  </si>
  <si>
    <t xml:space="preserve">In Ontario the combined rate on that income has been around 12.2%, and moves lower as the provincial rate drops to 2.2% from 1 July 2026.</t>
  </si>
  <si>
    <t xml:space="preserve">12.2% described as the historical rate before the July 1, 2026 cut, which the sentence already explains. Leave as is.</t>
  </si>
  <si>
    <t xml:space="preserve">https://gondaliyacpa.ca/accountant-for-marine-repair-businesses/</t>
  </si>
  <si>
    <t xml:space="preserve">Case study - Result</t>
  </si>
  <si>
    <t xml:space="preserve">Active income taxed near 12.2% instead of 53.53%</t>
  </si>
  <si>
    <t xml:space="preserve">Active income taxed near 11.2% (12.2% before July 1, 2026) instead of 53.53%</t>
  </si>
  <si>
    <t xml:space="preserve">Undated client case study stated in present terms, treated as current rate; if Sharad knows the engagement predates July 1, 2026 it could be left as is (R3).</t>
  </si>
  <si>
    <t xml:space="preserve">&lt;li&gt;Active income taxed near 12.2% instead of 53.53%&lt;/li&gt;</t>
  </si>
  <si>
    <t xml:space="preserve">&lt;li&gt;Active income taxed near 11.2% (12.2% before July 1, 2026) instead of 53.53%&lt;/li&gt;</t>
  </si>
  <si>
    <t xml:space="preserve">https://gondaliyacpa.ca/accountant-for-fleet-owners/</t>
  </si>
  <si>
    <t xml:space="preserve">Case study - What we did</t>
  </si>
  <si>
    <t xml:space="preserve">applied the $500,000 Small Business Deduction so active income is taxed near 12.2%,</t>
  </si>
  <si>
    <t xml:space="preserve">applied the $500,000 Small Business Deduction so active income is taxed near 11.2% (12.2% before July 1, 2026),</t>
  </si>
  <si>
    <t xml:space="preserve">Active income taxed near 11.2% instead of 53.53%</t>
  </si>
  <si>
    <t xml:space="preserve">&lt;li&gt;Active income taxed near 11.2% instead of 53.53%&lt;/li&gt;</t>
  </si>
  <si>
    <t xml:space="preserve">https://gondaliyacpa.ca/distributor-accounting-tax-services-canada/</t>
  </si>
  <si>
    <t xml:space="preserve">The Small Business Deduction</t>
  </si>
  <si>
    <t xml:space="preserve">a combined rate near 11.7% rather than the 12.2% that applied before.</t>
  </si>
  <si>
    <t xml:space="preserve">12.2% explicitly the pre-July 2026 rate; sentence already gives 2.2% and blended 11.7% for a calendar-year corporation. Leave as is.</t>
  </si>
  <si>
    <t xml:space="preserve">https://gondaliyacpa.ca/accountant-for-e-learning-platforms/</t>
  </si>
  <si>
    <t xml:space="preserve">Combined tax bill cut materially at the 12.2% rate</t>
  </si>
  <si>
    <t xml:space="preserve">Combined tax bill cut materially at the 11.2% rate</t>
  </si>
  <si>
    <t xml:space="preserve">&lt;li&gt;Combined tax bill cut materially at the 12.2% rate&lt;/li&gt;</t>
  </si>
  <si>
    <t xml:space="preserve">&lt;li&gt;Combined tax bill cut materially at the 11.2% rate&lt;/li&gt;</t>
  </si>
  <si>
    <t xml:space="preserve">https://gondaliyacpa.ca/accountant-for-exporters/</t>
  </si>
  <si>
    <t xml:space="preserve">https://gondaliyacpa.ca/accountant-for-importers/</t>
  </si>
  <si>
    <t xml:space="preserve">Cut the combined tax bill materially at the 12.2% rate</t>
  </si>
  <si>
    <t xml:space="preserve">Cut the combined tax bill materially at the 11.2% rate</t>
  </si>
  <si>
    <t xml:space="preserve">&lt;li&gt;Cut the combined tax bill materially at the 12.2% rate&lt;/li&gt;</t>
  </si>
  <si>
    <t xml:space="preserve">&lt;li&gt;Cut the combined tax bill materially at the 11.2% rate&lt;/li&gt;</t>
  </si>
  <si>
    <t xml:space="preserve">https://gondaliyacpa.ca/accountant-for-distributors/</t>
  </si>
  <si>
    <t xml:space="preserve">https://gondaliyacpa.ca/accountant-for-wholesale-businesses/</t>
  </si>
  <si>
    <t xml:space="preserve">https://gondaliyacpa.ca/accountant-for-cosmetics-manufacturers/</t>
  </si>
  <si>
    <t xml:space="preserve">Case study - what we did</t>
  </si>
  <si>
    <t xml:space="preserve">We incorporated and moved the mixers, filling equipment, formulations, inventory and goodwill across on a section 85 rollover, applied the $500,000 Small Business Deduction so active income is taxed near 12.2%, set up section 10 raw, WIP and finished-goods inventory with batch costing, reversed the reserve, and wrote the short-dated stock down to net realizable value.</t>
  </si>
  <si>
    <t xml:space="preserve">We incorporated and moved the mixers, filling equipment, formulations, inventory and goodwill across on a section 85 rollover, applied the $500,000 Small Business Deduction so active income is taxed near 11.2% (12.2% before July 1, 2026), set up section 10 raw, WIP and finished-goods inventory with batch costing, reversed the reserve, and wrote the short-dated stock down to net realizable value.</t>
  </si>
  <si>
    <t xml:space="preserve">Case-study result stated without a date as the current SBD-taxed rate; treated as current. If Sharad dates this engagement before July 1, 2026, switch to R3 (leave).</t>
  </si>
  <si>
    <t xml:space="preserve">Case study - result</t>
  </si>
  <si>
    <t xml:space="preserve">Cut the combined tax bill materially at 12.2%</t>
  </si>
  <si>
    <t xml:space="preserve">Cut the combined tax bill materially at 11.2%</t>
  </si>
  <si>
    <t xml:space="preserve">https://gondaliyacpa.ca/accountant-for-chemical-manufacturers/</t>
  </si>
  <si>
    <t xml:space="preserve">Service list</t>
  </si>
  <si>
    <t xml:space="preserve">We claim capital cost allowance on Schedule 8, placing reactors, mixing vessels and filling lines bought before 2026 in Class 53 at 50% and later purchases in Class 43 at 30%; reclassifying one $600,000 reactor and filling line accelerated $150,000 of first-year CCA.</t>
  </si>
  <si>
    <t xml:space="preserve">$600,000 here is an illustrative dollar amount (not the small business limit); leave as is.</t>
  </si>
  <si>
    <t xml:space="preserve">Case study</t>
  </si>
  <si>
    <t xml:space="preserve">Accelerated roughly $150,000 of first-year Class 53 CCA on the $600,000 line</t>
  </si>
  <si>
    <t xml:space="preserve">We incorporated the business and moved the mixers, tanks, inventory and formulations across on a section 85 rollover, applied the $500,000 Small Business Deduction so active income is taxed near 12.2%, set up raw-chemical, reactor-WIP and finished-goods inventory under section 10, and wrote the expired stock down to net realizable value.</t>
  </si>
  <si>
    <t xml:space="preserve">We incorporated the business and moved the mixers, tanks, inventory and formulations across on a section 85 rollover, applied the $500,000 Small Business Deduction so active income is taxed near 11.2% (12.2% before July 1, 2026), set up raw-chemical, reactor-WIP and finished-goods inventory under section 10, and wrote the expired stock down to net realizable value.</t>
  </si>
  <si>
    <t xml:space="preserve">https://gondaliyacpa.ca/accountant-for-sawmills/</t>
  </si>
  <si>
    <t xml:space="preserve">We incorporated the mill and moved the machinery, kilns, inventory and goodwill across on a section 85 rollover, applied the $500,000 Small Business Deduction so active income is taxed near 12.2%, set section 10 raw-log, finished-lumber and kiln-WIP inventory, and filed Schedule 31 for the apprenticeship credit.</t>
  </si>
  <si>
    <t xml:space="preserve">We incorporated the mill and moved the machinery, kilns, inventory and goodwill across on a section 85 rollover, applied the $500,000 Small Business Deduction so active income is taxed near 11.2% (12.2% before July 1, 2026), set section 10 raw-log, finished-lumber and kiln-WIP inventory, and filed Schedule 31 for the apprenticeship credit.</t>
  </si>
  <si>
    <t xml:space="preserve">https://gondaliyacpa.ca/accountant-for-forestry-companies/</t>
  </si>
  <si>
    <t xml:space="preserve">We rebuild months or years of neglected books from bank deposits, log-buyer settlement statements and scaling tickets, so a forestry company that let its records slide through three cutting seasons gets a clean ledger instead of a $600,000 shoebox of paper.</t>
  </si>
  <si>
    <t xml:space="preserve">We incorporated the company under the Ontario Business Corporations Act, moved the equipment and goodwill across on a section 85 rollover, applied the $500,000 Small Business Deduction so active income is taxed near 12.2%, and filed the outstanding T5018 slips.</t>
  </si>
  <si>
    <t xml:space="preserve">We incorporated the company under the Ontario Business Corporations Act, moved the equipment and goodwill across on a section 85 rollover, applied the $500,000 Small Business Deduction so active income is taxed near 11.2% (12.2% before July 1, 2026), and filed the outstanding T5018 slips.</t>
  </si>
  <si>
    <t xml:space="preserve">Active income taxed near the 12.2% small-business rate</t>
  </si>
  <si>
    <t xml:space="preserve">Active income taxed near the 11.2% small-business rate</t>
  </si>
  <si>
    <t xml:space="preserve">https://gondaliyacpa.ca/millwork-company-tax-planning-canada/</t>
  </si>
  <si>
    <t xml:space="preserve">2026 Update callout</t>
  </si>
  <si>
    <t xml:space="preserve">Ontario reduced its small business rate to 2.2% effective 1 July 2026, giving a blended provincial rate near 2.7% for a calendar-year corporation and a combined rate near 11.7% rather than the 12.2% that applied before.</t>
  </si>
  <si>
    <t xml:space="preserve">12.2% expressly tied to the period before the July 1, 2026 cut; leave as is.</t>
  </si>
  <si>
    <t xml:space="preserve">Body - business structure section</t>
  </si>
  <si>
    <t xml:space="preserve">R7</t>
  </si>
  <si>
    <t xml:space="preserve">Incorporated millwork companies get a federal small business deduction limit of $600,000 starting 2026. This reduces federal taxes on active business income below that amount. Watch out though:</t>
  </si>
  <si>
    <t xml:space="preserve">Incorporated millwork companies get a federal small business deduction limit of $500,000 starting 2026. This reduces federal taxes on active business income below that amount. Watch out though:</t>
  </si>
  <si>
    <t xml:space="preserve">Federal SBD limit stated as $600,000; correct to $500,000. The Risk Warning callout immediately after ("is $500,000, not $600,000") then becomes redundant; Sharad may wish to delete that callout.</t>
  </si>
  <si>
    <t xml:space="preserve">Risk Warning callout</t>
  </si>
  <si>
    <t xml:space="preserve">The federal small business deduction limit is $500,000, not $600,000. The higher figure belongs to the provincial limits in Saskatchewan, Prince Edward Island and Nova Scotia. Please plan against $500,000 federally.</t>
  </si>
  <si>
    <t xml:space="preserve">Contrasts $500,000 federal limit with $600,000 provincial figure; already correct, leave.</t>
  </si>
  <si>
    <t xml:space="preserve">$500,000 of active business income for an eligible Canadian-controlled private corporation, shared across associated corporations. The $600,000 figure belongs to the provincial limits in Saskatchewan, Prince Edward Island and Nova Scotia.</t>
  </si>
  <si>
    <t xml:space="preserve">&lt;p&gt;$500,000 of active business income for an eligible Canadian-controlled private corporation, shared across associated corporations. The $600,000 figure belongs to the provincial limits in Saskatchewan, Prince Edward Island and Nova Scotia.&lt;/p&gt;</t>
  </si>
  <si>
    <t xml:space="preserve">Disclaimer/notes</t>
  </si>
  <si>
    <t xml:space="preserve">Please note that the federal business limit is $500,000 rather than $600,000; that the T5018 return is due six months after your reporting period ends rather than on 31 March; that records are retained for six years rather than seven; and that an eligible dividend is reported on a T5 rather than a TD1.</t>
  </si>
  <si>
    <t xml:space="preserve">"text": "$500,000 of active business income for an eligible Canadian-controlled private corporation, shared across associated corporations. The $600,000 figure belongs to the provincial limits in Saskatchewan, Prince Edward Island and Nova Scotia."</t>
  </si>
  <si>
    <t xml:space="preserve">https://gondaliyacpa.ca/accountant-for-pizzerias/</t>
  </si>
  <si>
    <t xml:space="preserve">We incorporated under the Ontario Business Corporations Act, moved the equipment, inventory and goodwill across on a section 85 rollover, applied the $500,000 Small Business Deduction so active income is taxed near 12.2%, reclassified the drivers correctly using CRA's RC4110 factors, set up mileage records, and built clean cash and POS reporting.</t>
  </si>
  <si>
    <t xml:space="preserve">We incorporated under the Ontario Business Corporations Act, moved the equipment, inventory and goodwill across on a section 85 rollover, applied the $500,000 Small Business Deduction so active income is taxed near 11.2% (12.2% before July 1, 2026), reclassified the drivers correctly using CRA's RC4110 factors, set up mileage records, and built clean cash and POS reporting.</t>
  </si>
  <si>
    <t xml:space="preserve">https://gondaliyacpa.ca/accountant-for-fine-dining-restaurants/</t>
  </si>
  <si>
    <t xml:space="preserve">We run tip pooling correctly: controlled tips distributed by the house are pensionable and insurable, so we put them through payroll for CPP and EI; on one $600,000 annual tip pool we corrected the controlled-tip source deductions.</t>
  </si>
  <si>
    <t xml:space="preserve">We incorporated under the Ontario Business Corporations Act, moved the cellar, equipment and goodwill across on a section 85 rollover, applied the $500,000 Small Business Deduction so active income is taxed near 12.2%, put the controlled tips through payroll for CPP and EI, and booked gift cards as a deferred liability.</t>
  </si>
  <si>
    <t xml:space="preserve">We incorporated under the Ontario Business Corporations Act, moved the cellar, equipment and goodwill across on a section 85 rollover, applied the $500,000 Small Business Deduction so active income is taxed near 11.2% (12.2% before July 1, 2026), put the controlled tips through payroll for CPP and EI, and booked gift cards as a deferred liability.</t>
  </si>
  <si>
    <t xml:space="preserve">https://gondaliyacpa.ca/accountant-for-scaffolding-companies/</t>
  </si>
  <si>
    <t xml:space="preserve">We incorporated the company under the Ontario Business Corporations Act, moved the fleet, trucks and goodwill across on a section 85 rollover with no gain triggered, applied the $500,000 Small Business Deduction so active income is taxed near 12.2%, deducted the fleet-financing interest under section 20, and filed the outstanding T5018 slips.</t>
  </si>
  <si>
    <t xml:space="preserve">We incorporated the company under the Ontario Business Corporations Act, moved the fleet, trucks and goodwill across on a section 85 rollover with no gain triggered, applied the $500,000 Small Business Deduction so active income is taxed near 11.2% (12.2% before July 1, 2026), deducted the fleet-financing interest under section 20, and filed the outstanding T5018 slips.</t>
  </si>
  <si>
    <t xml:space="preserve">https://gondaliyacpa.ca/accountant-for-interlocking-and-hardscape-contractors/</t>
  </si>
  <si>
    <t xml:space="preserve">We prepare your T2 with GIFI on Schedule 100 and Schedule 125, splitting your interlock and paver install revenue from your retaining-wall and repair work on their correct lines, so CRA's automated matching never bills tax on a $600,000 file it misreads.</t>
  </si>
  <si>
    <t xml:space="preserve">We incorporated the company under the Ontario Business Corporations Act, moved the trucks, skid steers, inventory and goodwill across on a section 85 rollover with no gain triggered, applied the $500,000 Small Business Deduction so active income is taxed near 12.2%, filed the outstanding T5018 slips, and captured the missed material and fuel input tax credits.</t>
  </si>
  <si>
    <t xml:space="preserve">We incorporated the company under the Ontario Business Corporations Act, moved the trucks, skid steers, inventory and goodwill across on a section 85 rollover with no gain triggered, applied the $500,000 Small Business Deduction so active income is taxed near 11.2% (12.2% before July 1, 2026), filed the outstanding T5018 slips, and captured the missed material and fuel input tax credits.</t>
  </si>
  <si>
    <t xml:space="preserve">https://gondaliyacpa.ca/accountant-for-heavy-equipment-operators/</t>
  </si>
  <si>
    <t xml:space="preserve">We incorporated the company under the Ontario Business Corporations Act, moved the excavators, haul trucks and goodwill across on a section 85 rollover with no gain triggered, applied the $500,000 Small Business Deduction so active income is taxed near 12.2%, filed the outstanding T5018s, and fixed the RC4110 worker classification.</t>
  </si>
  <si>
    <t xml:space="preserve">We incorporated the company under the Ontario Business Corporations Act, moved the excavators, haul trucks and goodwill across on a section 85 rollover with no gain triggered, applied the $500,000 Small Business Deduction so active income is taxed near 11.2% (12.2% before July 1, 2026), filed the outstanding T5018s, and fixed the RC4110 worker classification.</t>
  </si>
  <si>
    <t xml:space="preserve">Title</t>
  </si>
  <si>
    <t xml:space="preserve">Rows to review</t>
  </si>
  <si>
    <t xml:space="preserve">Rows to change</t>
  </si>
  <si>
    <t xml:space="preserve">Accounting and Tax Services for Storage Facility Owners</t>
  </si>
  <si>
    <t xml:space="preserve">Accounting and Tax Services for DJs</t>
  </si>
  <si>
    <t xml:space="preserve">Accounting and Tax Services for Musicians</t>
  </si>
  <si>
    <t xml:space="preserve">Accounting and Tax Services for Amazon US Sellers Based in Canada</t>
  </si>
  <si>
    <t xml:space="preserve">Accounting and Tax Services for Foreign Investors in Canadian Real Estate</t>
  </si>
  <si>
    <t xml:space="preserve">Accounting and Tax Services for Immigrants With Foreign Assets</t>
  </si>
  <si>
    <t xml:space="preserve">Accounting and Tax Services for Green Card Holders in Canada</t>
  </si>
  <si>
    <t xml:space="preserve">Accounting and Tax Services for US Citizens Living in Canada</t>
  </si>
  <si>
    <t xml:space="preserve">Accounting and Tax Services for Canadian Companies Expanding to the US</t>
  </si>
  <si>
    <t xml:space="preserve">Accounting and Tax Services for Digital Nomads</t>
  </si>
  <si>
    <t xml:space="preserve">Accounting and Tax Services for International Students With Businesses</t>
  </si>
  <si>
    <t xml:space="preserve">All 12.2% occurrences are current-rate R1. No 3.2%, 0.122/0.032, $600,000/$600K or 12.2%-derived dollar figures found.</t>
  </si>
  <si>
    <t xml:space="preserve">Accounting and Tax Services for Foreign Shareholders of Canadian Corporations</t>
  </si>
  <si>
    <t xml:space="preserve">Accounting and Tax Services for Pet Boarding Businesses</t>
  </si>
  <si>
    <t xml:space="preserve">Accounting and Tax Services for Pet Sitting Businesses</t>
  </si>
  <si>
    <t xml:space="preserve">Accounting and Tax Services for Pet Grooming Businesses</t>
  </si>
  <si>
    <t xml:space="preserve">Accounting and Tax Services for Dog Walking Businesses</t>
  </si>
  <si>
    <t xml:space="preserve">Lash and Brow Studio Tax Filing in Canada: Business Tax Returns, Expenses &amp; Filing Requirements</t>
  </si>
  <si>
    <t xml:space="preserve">All 12.2% occurrences are current-rate R1. No 3.2%, 0.122/0.032, $600,000/$600K or 12.2%-derived dollar figures found. No 12.2% in this post's JSON-LD.</t>
  </si>
  <si>
    <t xml:space="preserve">The Ultimate Guide to Software Reseller Taxes and Accounting in Canada</t>
  </si>
  <si>
    <t xml:space="preserve">Common Tax and Accounting Mistakes Denturists Make in Canada</t>
  </si>
  <si>
    <t xml:space="preserve">Salary vs Dividend in 2027: The CPP Cut and Ontario's Lower Dividend Tax Credit</t>
  </si>
  <si>
    <t xml:space="preserve">Post already reflects the July 1, 2026 change (11.2% current; 12.2%/3.2% only as former or pre-July 1, 2026 rates). All occurrences R3, no changes needed. No 0.122/0.032 or $600,000 found.</t>
  </si>
  <si>
    <t xml:space="preserve">No-Code Development Agency Tax Rules in Canada: Contractor Payments, Software Costs &amp;amp; Business Income</t>
  </si>
  <si>
    <t xml:space="preserve">Newcomer Business Owner Tax Filing in Canada: What New Entrepreneurs Need to Know</t>
  </si>
  <si>
    <t xml:space="preserve">Supplement Brand Tax Accounting in Canada: Inventory, Product Costs &amp; Cost of Goods Sold</t>
  </si>
  <si>
    <t xml:space="preserve">Page already reflects the July 1, 2026 rate cut; no changes needed.</t>
  </si>
  <si>
    <t xml:space="preserve">Accounting and Tax Services for Virtual Assistants</t>
  </si>
  <si>
    <t xml:space="preserve">Engineering Consultant Tax Deductions in Canada: Professional Fees, Software, Equipment &amp; Business Expenses</t>
  </si>
  <si>
    <t xml:space="preserve">Ontario figures already current; only Quebec row mentions 3.2%/12.2%.</t>
  </si>
  <si>
    <t xml:space="preserve">Wholesale E-Commerce Accounting in Canada: Accounts Receivable, Credit Sales &amp; Cash Flow</t>
  </si>
  <si>
    <t xml:space="preserve">Land Surveying Company Tax Planning in Canada: Strategies to Manage Income, Equipment &amp; Business Taxes</t>
  </si>
  <si>
    <t xml:space="preserve">Cross-Border E-Commerce Tax in Canada: Foreign Currency, Exchange Gains &amp; International Sales</t>
  </si>
  <si>
    <t xml:space="preserve">First-Year Corporate Taxes in Canada: What New Business Owners Need to Know</t>
  </si>
  <si>
    <t xml:space="preserve">Accounting and Tax Services for Portfolio Managers</t>
  </si>
  <si>
    <t xml:space="preserve">The Ultimate Guide to Gutter Cleaning Business Taxes and Accounting in Canada</t>
  </si>
  <si>
    <t xml:space="preserve">The Ultimate Guide to Marine Repair Business Taxes and Accounting in Canada</t>
  </si>
  <si>
    <t xml:space="preserve">Accounting and Tax Services for Marine Repair Businesses</t>
  </si>
  <si>
    <t xml:space="preserve">Other rate mentions on the page already show 11.2%.</t>
  </si>
  <si>
    <t xml:space="preserve">Accounting and Tax Services for Fleet Owners</t>
  </si>
  <si>
    <t xml:space="preserve">Other rate mentions already show 11.2%.</t>
  </si>
  <si>
    <t xml:space="preserve">The Ultimate Guide to Accounting and Tax Services for Distributors in Canada</t>
  </si>
  <si>
    <t xml:space="preserve">Accounting and Tax Services for E-Learning Platforms</t>
  </si>
  <si>
    <t xml:space="preserve">Accounting and Tax Services for Exporters</t>
  </si>
  <si>
    <t xml:space="preserve">'$600,000 of intercompany sales' (transfer pricing) is not the small business limit - no change.</t>
  </si>
  <si>
    <t xml:space="preserve">Accounting and Tax Services for Importers</t>
  </si>
  <si>
    <t xml:space="preserve">Accounting and Tax Services for Distributors</t>
  </si>
  <si>
    <t xml:space="preserve">Accounting and Tax Services for Wholesale Businesses</t>
  </si>
  <si>
    <t xml:space="preserve">Accounting and Tax Services for Cosmetics Manufacturers</t>
  </si>
  <si>
    <t xml:space="preserve">Accounting and Tax Services for Chemical Manufacturers</t>
  </si>
  <si>
    <t xml:space="preserve">Accounting and Tax Services for Sawmills</t>
  </si>
  <si>
    <t xml:space="preserve">Accounting and Tax Services for Forestry Companies</t>
  </si>
  <si>
    <t xml:space="preserve">How Millwork Companies in Canada Can Reduce Taxes and Improve Cash Flow With Strategic Tax Planning</t>
  </si>
  <si>
    <t xml:space="preserve">Fetched as post_type "posts" (not a page).</t>
  </si>
  <si>
    <t xml:space="preserve">Accounting and Tax Services for Pizzerias</t>
  </si>
  <si>
    <t xml:space="preserve">Accounting and Tax Services for Fine Dining Restaurants</t>
  </si>
  <si>
    <t xml:space="preserve">Accounting and Tax Services for Scaffolding Companies</t>
  </si>
  <si>
    <t xml:space="preserve">Accounting and Tax Services for Interlocking and Hardscape Contractors</t>
  </si>
  <si>
    <t xml:space="preserve">Accounting and Tax Services for Heavy Equipment Operators</t>
  </si>
  <si>
    <t xml:space="preserve">Total</t>
  </si>
  <si>
    <t xml:space="preserve">Where the figure appears</t>
  </si>
  <si>
    <t xml:space="preserve">Action</t>
  </si>
  <si>
    <t xml:space="preserve">12.2% stated as the current combined Ontario small business rate</t>
  </si>
  <si>
    <t xml:space="preserve">Change to 11.2% and add "(12.2% before July 1, 2026)" once per page</t>
  </si>
  <si>
    <t xml:space="preserve">R2</t>
  </si>
  <si>
    <t xml:space="preserve">3.2% stated as the current Ontario small business rate</t>
  </si>
  <si>
    <t xml:space="preserve">Change to 2.2% and add "(3.2% before July 1, 2026)" once per page</t>
  </si>
  <si>
    <t xml:space="preserve">12.2% or 3.2% tied to 2025 or earlier, or to income before July 1, 2026</t>
  </si>
  <si>
    <t xml:space="preserve">Leave as is</t>
  </si>
  <si>
    <t xml:space="preserve">R4</t>
  </si>
  <si>
    <t xml:space="preserve">Dollar figure worked out from 12.2%</t>
  </si>
  <si>
    <t xml:space="preserve">Recalculate at 11.2%; Sharad confirms the figure</t>
  </si>
  <si>
    <t xml:space="preserve">R5</t>
  </si>
  <si>
    <t xml:space="preserve">Example for a December 31, 2026 year-end</t>
  </si>
  <si>
    <t xml:space="preserve">Use the blended 11.70%</t>
  </si>
  <si>
    <t xml:space="preserve">R6</t>
  </si>
  <si>
    <t xml:space="preserve">Calculator code with 0.122 or 0.032</t>
  </si>
  <si>
    <t xml:space="preserve">Replace with the day-prorated logic from the page 7 calculator</t>
  </si>
  <si>
    <t xml:space="preserve">Small business limit shown as $600,000</t>
  </si>
  <si>
    <t xml:space="preserve">Change to $500,000</t>
  </si>
  <si>
    <t xml:space="preserve">Rate correction batch 1 of about 8 (50 URLs), prepared October 23, 2026 for Sharad's review. Source: Sharad's Existing Page Fixes and Rate Correction Rules (PSB package, Oct 3, 2026).</t>
  </si>
  <si>
    <t xml:space="preserve">How to review: in the Before-After tab, choose Approve, Change or Reject in the yellow 'Sharad decision' column. Use 'Sharad comment' for any change.</t>
  </si>
  <si>
    <t xml:space="preserve">Example: decision 'Change', comment 'Use 11.2% but drop the (12.2% before July 1, 2026) note here'.</t>
  </si>
  <si>
    <t xml:space="preserve">Grey rows are R3 (historical figures): proposed to stay as they are.</t>
  </si>
  <si>
    <t xml:space="preserve">Every visible FAQ change has a matching JSON-LD row so the schema stays identical to the page.</t>
  </si>
  <si>
    <t xml:space="preserve">Nothing on the website changes until Sharad approves the batch.</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</si>
</sst>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s>
  <fills count="5">
    <fill>
      <patternFill patternType="none"/>
    </fill>
    <fill>
      <patternFill patternType="gray125"/>
    </fill>
    <fill>
      <patternFill patternType="solid">
        <fgColor rgb="FF0F2A4A"/>
        <bgColor rgb="FF333333"/>
      </patternFill>
    </fill>
    <fill>
      <patternFill patternType="solid">
        <fgColor rgb="FFFFFF00"/>
        <bgColor rgb="FFFFFF00"/>
      </patternFill>
    </fill>
    <fill>
      <patternFill patternType="solid">
        <fgColor rgb="FFEEEEEE"/>
        <bgColor rgb="FFFFFFFF"/>
      </patternFill>
    </fill>
  </fills>
  <borders count="2">
    <border diagonalUp="false" diagonalDown="false">
      <left/>
      <right/>
      <top/>
      <bottom/>
      <diagonal/>
    </border>
    <border diagonalUp="false" diagonalDown="false">
      <left style="thin">
        <color rgb="FF9AA5B1"/>
      </left>
      <right style="thin">
        <color rgb="FF9AA5B1"/>
      </right>
      <top style="thin">
        <color rgb="FF9AA5B1"/>
      </top>
      <bottom style="thin">
        <color rgb="FF9AA5B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0F2A4A"/>
          <bgColor rgb="FF000000"/>
        </patternFill>
      </fill>
    </dxf>
    <dxf>
      <fill>
        <patternFill patternType="solid">
          <fgColor rgb="FFEEEEEE"/>
          <bgColor rgb="FF000000"/>
        </patternFill>
      </fill>
    </dxf>
    <dxf>
      <fill>
        <patternFill patternType="solid">
          <bgColor rgb="FF000000"/>
        </patternFill>
      </fill>
    </dxf>
    <dxf>
      <fill>
        <patternFill patternType="solid">
          <fgColor rgb="FFFFFFFF"/>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EEEEE"/>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AA5B1"/>
      <rgbColor rgb="FF0F2A4A"/>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8"/>
    <col collapsed="false" customWidth="true" hidden="false" outlineLevel="0" max="3" min="3" style="0" width="9"/>
    <col collapsed="false" customWidth="true" hidden="false" outlineLevel="0" max="4" min="4" style="0" width="11"/>
    <col collapsed="false" customWidth="true" hidden="false" outlineLevel="0" max="5" min="5" style="0" width="16"/>
    <col collapsed="false" customWidth="true" hidden="false" outlineLevel="0" max="6" min="6" style="0" width="6"/>
    <col collapsed="false" customWidth="true" hidden="false" outlineLevel="0" max="8" min="7" style="0" width="60"/>
    <col collapsed="false" customWidth="true" hidden="false" outlineLevel="0" max="9" min="9" style="0" width="30"/>
    <col collapsed="false" customWidth="true" hidden="false" outlineLevel="0" max="10" min="10" style="0" width="14"/>
    <col collapsed="false" customWidth="true" hidden="false" outlineLevel="0" max="11" min="11" style="0" width="30"/>
    <col collapsed="false" customWidth="true" hidden="true" outlineLevel="0" max="13" min="12" style="0" width="40"/>
  </cols>
  <sheetData>
    <row r="1" customFormat="false" ht="23.8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row>
    <row r="2" customFormat="false" ht="91" hidden="false" customHeight="false" outlineLevel="0" collapsed="false">
      <c r="A2" s="2" t="n">
        <v>1</v>
      </c>
      <c r="B2" s="2" t="s">
        <v>13</v>
      </c>
      <c r="C2" s="2" t="n">
        <v>57741</v>
      </c>
      <c r="D2" s="2" t="s">
        <v>14</v>
      </c>
      <c r="E2" s="2" t="s">
        <v>15</v>
      </c>
      <c r="F2" s="2" t="s">
        <v>16</v>
      </c>
      <c r="G2" s="2" t="s">
        <v>17</v>
      </c>
      <c r="H2" s="2" t="s">
        <v>18</v>
      </c>
      <c r="I2" s="2" t="s">
        <v>19</v>
      </c>
      <c r="J2" s="3"/>
      <c r="K2" s="3"/>
      <c r="L2" s="2" t="s">
        <v>20</v>
      </c>
      <c r="M2" s="2" t="s">
        <v>21</v>
      </c>
    </row>
    <row r="3" customFormat="false" ht="79.85" hidden="false" customHeight="false" outlineLevel="0" collapsed="false">
      <c r="A3" s="2" t="n">
        <v>2</v>
      </c>
      <c r="B3" s="2" t="s">
        <v>13</v>
      </c>
      <c r="C3" s="2" t="n">
        <v>57741</v>
      </c>
      <c r="D3" s="2" t="s">
        <v>22</v>
      </c>
      <c r="E3" s="2" t="s">
        <v>15</v>
      </c>
      <c r="F3" s="2" t="s">
        <v>16</v>
      </c>
      <c r="G3" s="2" t="s">
        <v>23</v>
      </c>
      <c r="H3" s="2" t="s">
        <v>24</v>
      </c>
      <c r="I3" s="2" t="s">
        <v>25</v>
      </c>
      <c r="J3" s="3"/>
      <c r="K3" s="3"/>
      <c r="L3" s="2" t="s">
        <v>23</v>
      </c>
      <c r="M3" s="2" t="s">
        <v>24</v>
      </c>
    </row>
    <row r="4" customFormat="false" ht="57.45" hidden="false" customHeight="false" outlineLevel="0" collapsed="false">
      <c r="A4" s="2" t="n">
        <v>3</v>
      </c>
      <c r="B4" s="2" t="s">
        <v>26</v>
      </c>
      <c r="C4" s="2" t="n">
        <v>57484</v>
      </c>
      <c r="D4" s="2" t="s">
        <v>14</v>
      </c>
      <c r="E4" s="2" t="s">
        <v>27</v>
      </c>
      <c r="F4" s="2" t="s">
        <v>16</v>
      </c>
      <c r="G4" s="2" t="s">
        <v>28</v>
      </c>
      <c r="H4" s="2" t="s">
        <v>29</v>
      </c>
      <c r="I4" s="2" t="s">
        <v>30</v>
      </c>
      <c r="J4" s="3"/>
      <c r="K4" s="3"/>
      <c r="L4" s="2" t="s">
        <v>31</v>
      </c>
      <c r="M4" s="2" t="s">
        <v>32</v>
      </c>
    </row>
    <row r="5" customFormat="false" ht="35.05" hidden="false" customHeight="false" outlineLevel="0" collapsed="false">
      <c r="A5" s="2" t="n">
        <v>4</v>
      </c>
      <c r="B5" s="2" t="s">
        <v>26</v>
      </c>
      <c r="C5" s="2" t="n">
        <v>57484</v>
      </c>
      <c r="D5" s="2" t="s">
        <v>14</v>
      </c>
      <c r="E5" s="2" t="s">
        <v>33</v>
      </c>
      <c r="F5" s="2" t="s">
        <v>16</v>
      </c>
      <c r="G5" s="2" t="s">
        <v>34</v>
      </c>
      <c r="H5" s="2" t="s">
        <v>35</v>
      </c>
      <c r="I5" s="2"/>
      <c r="J5" s="3"/>
      <c r="K5" s="3"/>
      <c r="L5" s="2" t="s">
        <v>34</v>
      </c>
      <c r="M5" s="2" t="s">
        <v>35</v>
      </c>
    </row>
    <row r="6" customFormat="false" ht="68.65" hidden="false" customHeight="false" outlineLevel="0" collapsed="false">
      <c r="A6" s="2" t="n">
        <v>5</v>
      </c>
      <c r="B6" s="2" t="s">
        <v>26</v>
      </c>
      <c r="C6" s="2" t="n">
        <v>57484</v>
      </c>
      <c r="D6" s="2" t="s">
        <v>14</v>
      </c>
      <c r="E6" s="2" t="s">
        <v>15</v>
      </c>
      <c r="F6" s="2" t="s">
        <v>16</v>
      </c>
      <c r="G6" s="2" t="s">
        <v>36</v>
      </c>
      <c r="H6" s="2" t="s">
        <v>37</v>
      </c>
      <c r="I6" s="2" t="s">
        <v>38</v>
      </c>
      <c r="J6" s="3"/>
      <c r="K6" s="3"/>
      <c r="L6" s="2" t="s">
        <v>39</v>
      </c>
      <c r="M6" s="2" t="s">
        <v>40</v>
      </c>
    </row>
    <row r="7" customFormat="false" ht="68.65" hidden="false" customHeight="false" outlineLevel="0" collapsed="false">
      <c r="A7" s="2" t="n">
        <v>6</v>
      </c>
      <c r="B7" s="2" t="s">
        <v>26</v>
      </c>
      <c r="C7" s="2" t="n">
        <v>57484</v>
      </c>
      <c r="D7" s="2" t="s">
        <v>22</v>
      </c>
      <c r="E7" s="2" t="s">
        <v>15</v>
      </c>
      <c r="F7" s="2" t="s">
        <v>16</v>
      </c>
      <c r="G7" s="2" t="s">
        <v>36</v>
      </c>
      <c r="H7" s="2" t="s">
        <v>37</v>
      </c>
      <c r="I7" s="2" t="s">
        <v>41</v>
      </c>
      <c r="J7" s="3"/>
      <c r="K7" s="3"/>
      <c r="L7" s="2" t="s">
        <v>42</v>
      </c>
      <c r="M7" s="2" t="s">
        <v>43</v>
      </c>
    </row>
    <row r="8" customFormat="false" ht="46.25" hidden="false" customHeight="false" outlineLevel="0" collapsed="false">
      <c r="A8" s="2" t="n">
        <v>7</v>
      </c>
      <c r="B8" s="2" t="s">
        <v>44</v>
      </c>
      <c r="C8" s="2" t="n">
        <v>57475</v>
      </c>
      <c r="D8" s="2" t="s">
        <v>14</v>
      </c>
      <c r="E8" s="2" t="s">
        <v>33</v>
      </c>
      <c r="F8" s="2" t="s">
        <v>16</v>
      </c>
      <c r="G8" s="2" t="s">
        <v>45</v>
      </c>
      <c r="H8" s="2" t="s">
        <v>46</v>
      </c>
      <c r="I8" s="2" t="s">
        <v>30</v>
      </c>
      <c r="J8" s="3"/>
      <c r="K8" s="3"/>
      <c r="L8" s="2" t="s">
        <v>45</v>
      </c>
      <c r="M8" s="2" t="s">
        <v>46</v>
      </c>
    </row>
    <row r="9" customFormat="false" ht="68.65" hidden="false" customHeight="false" outlineLevel="0" collapsed="false">
      <c r="A9" s="2" t="n">
        <v>8</v>
      </c>
      <c r="B9" s="2" t="s">
        <v>44</v>
      </c>
      <c r="C9" s="2" t="n">
        <v>57475</v>
      </c>
      <c r="D9" s="2" t="s">
        <v>14</v>
      </c>
      <c r="E9" s="2" t="s">
        <v>33</v>
      </c>
      <c r="F9" s="2" t="s">
        <v>16</v>
      </c>
      <c r="G9" s="2" t="s">
        <v>47</v>
      </c>
      <c r="H9" s="2" t="s">
        <v>48</v>
      </c>
      <c r="I9" s="2"/>
      <c r="J9" s="3"/>
      <c r="K9" s="3"/>
      <c r="L9" s="2" t="s">
        <v>49</v>
      </c>
      <c r="M9" s="2" t="s">
        <v>50</v>
      </c>
    </row>
    <row r="10" customFormat="false" ht="79.85" hidden="false" customHeight="false" outlineLevel="0" collapsed="false">
      <c r="A10" s="2" t="n">
        <v>9</v>
      </c>
      <c r="B10" s="2" t="s">
        <v>44</v>
      </c>
      <c r="C10" s="2" t="n">
        <v>57475</v>
      </c>
      <c r="D10" s="2" t="s">
        <v>14</v>
      </c>
      <c r="E10" s="2" t="s">
        <v>15</v>
      </c>
      <c r="F10" s="2" t="s">
        <v>16</v>
      </c>
      <c r="G10" s="2" t="s">
        <v>51</v>
      </c>
      <c r="H10" s="2" t="s">
        <v>52</v>
      </c>
      <c r="I10" s="2"/>
      <c r="J10" s="3"/>
      <c r="K10" s="3"/>
      <c r="L10" s="2" t="s">
        <v>53</v>
      </c>
      <c r="M10" s="2" t="s">
        <v>54</v>
      </c>
    </row>
    <row r="11" customFormat="false" ht="79.85" hidden="false" customHeight="false" outlineLevel="0" collapsed="false">
      <c r="A11" s="2" t="n">
        <v>10</v>
      </c>
      <c r="B11" s="2" t="s">
        <v>44</v>
      </c>
      <c r="C11" s="2" t="n">
        <v>57475</v>
      </c>
      <c r="D11" s="2" t="s">
        <v>22</v>
      </c>
      <c r="E11" s="2" t="s">
        <v>15</v>
      </c>
      <c r="F11" s="2" t="s">
        <v>16</v>
      </c>
      <c r="G11" s="2" t="s">
        <v>55</v>
      </c>
      <c r="H11" s="2" t="s">
        <v>56</v>
      </c>
      <c r="I11" s="2" t="s">
        <v>57</v>
      </c>
      <c r="J11" s="3"/>
      <c r="K11" s="3"/>
      <c r="L11" s="2" t="s">
        <v>55</v>
      </c>
      <c r="M11" s="2" t="s">
        <v>56</v>
      </c>
    </row>
    <row r="12" customFormat="false" ht="57.45" hidden="false" customHeight="false" outlineLevel="0" collapsed="false">
      <c r="A12" s="2" t="n">
        <v>11</v>
      </c>
      <c r="B12" s="2" t="s">
        <v>58</v>
      </c>
      <c r="C12" s="2" t="n">
        <v>57418</v>
      </c>
      <c r="D12" s="2" t="s">
        <v>14</v>
      </c>
      <c r="E12" s="2" t="s">
        <v>59</v>
      </c>
      <c r="F12" s="2" t="s">
        <v>16</v>
      </c>
      <c r="G12" s="2" t="s">
        <v>60</v>
      </c>
      <c r="H12" s="2" t="s">
        <v>61</v>
      </c>
      <c r="I12" s="2" t="s">
        <v>62</v>
      </c>
      <c r="J12" s="3"/>
      <c r="K12" s="3"/>
      <c r="L12" s="2" t="s">
        <v>63</v>
      </c>
      <c r="M12" s="2" t="s">
        <v>64</v>
      </c>
    </row>
    <row r="13" customFormat="false" ht="57.45" hidden="false" customHeight="false" outlineLevel="0" collapsed="false">
      <c r="A13" s="2" t="n">
        <v>12</v>
      </c>
      <c r="B13" s="2" t="s">
        <v>58</v>
      </c>
      <c r="C13" s="2" t="n">
        <v>57418</v>
      </c>
      <c r="D13" s="2" t="s">
        <v>14</v>
      </c>
      <c r="E13" s="2" t="s">
        <v>33</v>
      </c>
      <c r="F13" s="2" t="s">
        <v>16</v>
      </c>
      <c r="G13" s="2" t="s">
        <v>65</v>
      </c>
      <c r="H13" s="2" t="s">
        <v>66</v>
      </c>
      <c r="I13" s="2"/>
      <c r="J13" s="3"/>
      <c r="K13" s="3"/>
      <c r="L13" s="2" t="s">
        <v>65</v>
      </c>
      <c r="M13" s="2" t="s">
        <v>66</v>
      </c>
    </row>
    <row r="14" customFormat="false" ht="57.45" hidden="false" customHeight="false" outlineLevel="0" collapsed="false">
      <c r="A14" s="2" t="n">
        <v>13</v>
      </c>
      <c r="B14" s="2" t="s">
        <v>58</v>
      </c>
      <c r="C14" s="2" t="n">
        <v>57418</v>
      </c>
      <c r="D14" s="2" t="s">
        <v>14</v>
      </c>
      <c r="E14" s="2" t="s">
        <v>33</v>
      </c>
      <c r="F14" s="2" t="s">
        <v>16</v>
      </c>
      <c r="G14" s="2" t="s">
        <v>67</v>
      </c>
      <c r="H14" s="2" t="s">
        <v>68</v>
      </c>
      <c r="I14" s="2"/>
      <c r="J14" s="3"/>
      <c r="K14" s="3"/>
      <c r="L14" s="2" t="s">
        <v>67</v>
      </c>
      <c r="M14" s="2" t="s">
        <v>68</v>
      </c>
    </row>
    <row r="15" customFormat="false" ht="57.45" hidden="false" customHeight="false" outlineLevel="0" collapsed="false">
      <c r="A15" s="2" t="n">
        <v>14</v>
      </c>
      <c r="B15" s="2" t="s">
        <v>58</v>
      </c>
      <c r="C15" s="2" t="n">
        <v>57418</v>
      </c>
      <c r="D15" s="2" t="s">
        <v>14</v>
      </c>
      <c r="E15" s="2" t="s">
        <v>69</v>
      </c>
      <c r="F15" s="2" t="s">
        <v>16</v>
      </c>
      <c r="G15" s="2" t="s">
        <v>70</v>
      </c>
      <c r="H15" s="2" t="s">
        <v>71</v>
      </c>
      <c r="I15" s="2"/>
      <c r="J15" s="3"/>
      <c r="K15" s="3"/>
      <c r="L15" s="2" t="s">
        <v>70</v>
      </c>
      <c r="M15" s="2" t="s">
        <v>71</v>
      </c>
    </row>
    <row r="16" customFormat="false" ht="68.65" hidden="false" customHeight="false" outlineLevel="0" collapsed="false">
      <c r="A16" s="2" t="n">
        <v>15</v>
      </c>
      <c r="B16" s="2" t="s">
        <v>72</v>
      </c>
      <c r="C16" s="2" t="n">
        <v>57402</v>
      </c>
      <c r="D16" s="2" t="s">
        <v>14</v>
      </c>
      <c r="E16" s="2" t="s">
        <v>33</v>
      </c>
      <c r="F16" s="2" t="s">
        <v>16</v>
      </c>
      <c r="G16" s="2" t="s">
        <v>73</v>
      </c>
      <c r="H16" s="2" t="s">
        <v>74</v>
      </c>
      <c r="I16" s="2" t="s">
        <v>30</v>
      </c>
      <c r="J16" s="3"/>
      <c r="K16" s="3"/>
      <c r="L16" s="2" t="s">
        <v>73</v>
      </c>
      <c r="M16" s="2" t="s">
        <v>74</v>
      </c>
    </row>
    <row r="17" customFormat="false" ht="46.25" hidden="false" customHeight="false" outlineLevel="0" collapsed="false">
      <c r="A17" s="2" t="n">
        <v>16</v>
      </c>
      <c r="B17" s="2" t="s">
        <v>72</v>
      </c>
      <c r="C17" s="2" t="n">
        <v>57402</v>
      </c>
      <c r="D17" s="2" t="s">
        <v>14</v>
      </c>
      <c r="E17" s="2" t="s">
        <v>75</v>
      </c>
      <c r="F17" s="2" t="s">
        <v>16</v>
      </c>
      <c r="G17" s="2" t="s">
        <v>76</v>
      </c>
      <c r="H17" s="2" t="s">
        <v>77</v>
      </c>
      <c r="I17" s="2"/>
      <c r="J17" s="3"/>
      <c r="K17" s="3"/>
      <c r="L17" s="2" t="s">
        <v>76</v>
      </c>
      <c r="M17" s="2" t="s">
        <v>77</v>
      </c>
    </row>
    <row r="18" customFormat="false" ht="113.4" hidden="false" customHeight="false" outlineLevel="0" collapsed="false">
      <c r="A18" s="2" t="n">
        <v>17</v>
      </c>
      <c r="B18" s="2" t="s">
        <v>72</v>
      </c>
      <c r="C18" s="2" t="n">
        <v>57402</v>
      </c>
      <c r="D18" s="2" t="s">
        <v>14</v>
      </c>
      <c r="E18" s="2" t="s">
        <v>15</v>
      </c>
      <c r="F18" s="2" t="s">
        <v>16</v>
      </c>
      <c r="G18" s="2" t="s">
        <v>78</v>
      </c>
      <c r="H18" s="2" t="s">
        <v>79</v>
      </c>
      <c r="I18" s="2" t="s">
        <v>80</v>
      </c>
      <c r="J18" s="3"/>
      <c r="K18" s="3"/>
      <c r="L18" s="2" t="s">
        <v>81</v>
      </c>
      <c r="M18" s="2" t="s">
        <v>82</v>
      </c>
    </row>
    <row r="19" customFormat="false" ht="113.4" hidden="false" customHeight="false" outlineLevel="0" collapsed="false">
      <c r="A19" s="2" t="n">
        <v>18</v>
      </c>
      <c r="B19" s="2" t="s">
        <v>72</v>
      </c>
      <c r="C19" s="2" t="n">
        <v>57402</v>
      </c>
      <c r="D19" s="2" t="s">
        <v>22</v>
      </c>
      <c r="E19" s="2" t="s">
        <v>15</v>
      </c>
      <c r="F19" s="2" t="s">
        <v>16</v>
      </c>
      <c r="G19" s="2" t="s">
        <v>78</v>
      </c>
      <c r="H19" s="2" t="s">
        <v>79</v>
      </c>
      <c r="I19" s="2" t="s">
        <v>83</v>
      </c>
      <c r="J19" s="3"/>
      <c r="K19" s="3"/>
      <c r="L19" s="2" t="s">
        <v>84</v>
      </c>
      <c r="M19" s="2" t="s">
        <v>85</v>
      </c>
    </row>
    <row r="20" customFormat="false" ht="68.65" hidden="false" customHeight="false" outlineLevel="0" collapsed="false">
      <c r="A20" s="2" t="n">
        <v>19</v>
      </c>
      <c r="B20" s="2" t="s">
        <v>86</v>
      </c>
      <c r="C20" s="2" t="n">
        <v>57394</v>
      </c>
      <c r="D20" s="2" t="s">
        <v>14</v>
      </c>
      <c r="E20" s="2" t="s">
        <v>33</v>
      </c>
      <c r="F20" s="2" t="s">
        <v>16</v>
      </c>
      <c r="G20" s="2" t="s">
        <v>87</v>
      </c>
      <c r="H20" s="2" t="s">
        <v>88</v>
      </c>
      <c r="I20" s="2" t="s">
        <v>30</v>
      </c>
      <c r="J20" s="3"/>
      <c r="K20" s="3"/>
      <c r="L20" s="2" t="s">
        <v>87</v>
      </c>
      <c r="M20" s="2" t="s">
        <v>88</v>
      </c>
    </row>
    <row r="21" customFormat="false" ht="57.45" hidden="false" customHeight="false" outlineLevel="0" collapsed="false">
      <c r="A21" s="2" t="n">
        <v>20</v>
      </c>
      <c r="B21" s="2" t="s">
        <v>89</v>
      </c>
      <c r="C21" s="2" t="n">
        <v>57227</v>
      </c>
      <c r="D21" s="2" t="s">
        <v>14</v>
      </c>
      <c r="E21" s="2" t="s">
        <v>33</v>
      </c>
      <c r="F21" s="2" t="s">
        <v>16</v>
      </c>
      <c r="G21" s="2" t="s">
        <v>90</v>
      </c>
      <c r="H21" s="2" t="s">
        <v>91</v>
      </c>
      <c r="I21" s="2" t="s">
        <v>30</v>
      </c>
      <c r="J21" s="3"/>
      <c r="K21" s="3"/>
      <c r="L21" s="2" t="s">
        <v>90</v>
      </c>
      <c r="M21" s="2" t="s">
        <v>91</v>
      </c>
    </row>
    <row r="22" customFormat="false" ht="57.45" hidden="false" customHeight="false" outlineLevel="0" collapsed="false">
      <c r="A22" s="2" t="n">
        <v>21</v>
      </c>
      <c r="B22" s="2" t="s">
        <v>92</v>
      </c>
      <c r="C22" s="2" t="n">
        <v>57215</v>
      </c>
      <c r="D22" s="2" t="s">
        <v>14</v>
      </c>
      <c r="E22" s="2" t="s">
        <v>33</v>
      </c>
      <c r="F22" s="2" t="s">
        <v>16</v>
      </c>
      <c r="G22" s="2" t="s">
        <v>93</v>
      </c>
      <c r="H22" s="2" t="s">
        <v>94</v>
      </c>
      <c r="I22" s="2" t="s">
        <v>30</v>
      </c>
      <c r="J22" s="3"/>
      <c r="K22" s="3"/>
      <c r="L22" s="2" t="s">
        <v>93</v>
      </c>
      <c r="M22" s="2" t="s">
        <v>94</v>
      </c>
    </row>
    <row r="23" customFormat="false" ht="57.45" hidden="false" customHeight="false" outlineLevel="0" collapsed="false">
      <c r="A23" s="2" t="n">
        <v>22</v>
      </c>
      <c r="B23" s="2" t="s">
        <v>92</v>
      </c>
      <c r="C23" s="2" t="n">
        <v>57215</v>
      </c>
      <c r="D23" s="2" t="s">
        <v>14</v>
      </c>
      <c r="E23" s="2" t="s">
        <v>33</v>
      </c>
      <c r="F23" s="2" t="s">
        <v>16</v>
      </c>
      <c r="G23" s="2" t="s">
        <v>95</v>
      </c>
      <c r="H23" s="2" t="s">
        <v>96</v>
      </c>
      <c r="I23" s="2"/>
      <c r="J23" s="3"/>
      <c r="K23" s="3"/>
      <c r="L23" s="2" t="s">
        <v>95</v>
      </c>
      <c r="M23" s="2" t="s">
        <v>96</v>
      </c>
    </row>
    <row r="24" customFormat="false" ht="46.25" hidden="false" customHeight="false" outlineLevel="0" collapsed="false">
      <c r="A24" s="2" t="n">
        <v>23</v>
      </c>
      <c r="B24" s="2" t="s">
        <v>92</v>
      </c>
      <c r="C24" s="2" t="n">
        <v>57215</v>
      </c>
      <c r="D24" s="2" t="s">
        <v>14</v>
      </c>
      <c r="E24" s="2" t="s">
        <v>75</v>
      </c>
      <c r="F24" s="2" t="s">
        <v>16</v>
      </c>
      <c r="G24" s="2" t="s">
        <v>97</v>
      </c>
      <c r="H24" s="2" t="s">
        <v>98</v>
      </c>
      <c r="I24" s="2"/>
      <c r="J24" s="3"/>
      <c r="K24" s="3"/>
      <c r="L24" s="2" t="s">
        <v>97</v>
      </c>
      <c r="M24" s="2" t="s">
        <v>98</v>
      </c>
    </row>
    <row r="25" customFormat="false" ht="91" hidden="false" customHeight="false" outlineLevel="0" collapsed="false">
      <c r="A25" s="2" t="n">
        <v>24</v>
      </c>
      <c r="B25" s="2" t="s">
        <v>92</v>
      </c>
      <c r="C25" s="2" t="n">
        <v>57215</v>
      </c>
      <c r="D25" s="2" t="s">
        <v>14</v>
      </c>
      <c r="E25" s="2" t="s">
        <v>15</v>
      </c>
      <c r="F25" s="2" t="s">
        <v>16</v>
      </c>
      <c r="G25" s="2" t="s">
        <v>99</v>
      </c>
      <c r="H25" s="2" t="s">
        <v>100</v>
      </c>
      <c r="I25" s="2" t="s">
        <v>101</v>
      </c>
      <c r="J25" s="3"/>
      <c r="K25" s="3"/>
      <c r="L25" s="2" t="s">
        <v>102</v>
      </c>
      <c r="M25" s="2" t="s">
        <v>103</v>
      </c>
    </row>
    <row r="26" customFormat="false" ht="91" hidden="false" customHeight="false" outlineLevel="0" collapsed="false">
      <c r="A26" s="2" t="n">
        <v>25</v>
      </c>
      <c r="B26" s="2" t="s">
        <v>92</v>
      </c>
      <c r="C26" s="2" t="n">
        <v>57215</v>
      </c>
      <c r="D26" s="2" t="s">
        <v>22</v>
      </c>
      <c r="E26" s="2" t="s">
        <v>15</v>
      </c>
      <c r="F26" s="2" t="s">
        <v>16</v>
      </c>
      <c r="G26" s="2" t="s">
        <v>99</v>
      </c>
      <c r="H26" s="2" t="s">
        <v>100</v>
      </c>
      <c r="I26" s="2" t="s">
        <v>104</v>
      </c>
      <c r="J26" s="3"/>
      <c r="K26" s="3"/>
      <c r="L26" s="2" t="s">
        <v>105</v>
      </c>
      <c r="M26" s="2" t="s">
        <v>106</v>
      </c>
    </row>
    <row r="27" customFormat="false" ht="68.65" hidden="false" customHeight="false" outlineLevel="0" collapsed="false">
      <c r="A27" s="2" t="n">
        <v>26</v>
      </c>
      <c r="B27" s="2" t="s">
        <v>107</v>
      </c>
      <c r="C27" s="2" t="n">
        <v>57195</v>
      </c>
      <c r="D27" s="2" t="s">
        <v>14</v>
      </c>
      <c r="E27" s="2" t="s">
        <v>33</v>
      </c>
      <c r="F27" s="2" t="s">
        <v>16</v>
      </c>
      <c r="G27" s="2" t="s">
        <v>108</v>
      </c>
      <c r="H27" s="2" t="s">
        <v>109</v>
      </c>
      <c r="I27" s="2" t="s">
        <v>30</v>
      </c>
      <c r="J27" s="3"/>
      <c r="K27" s="3"/>
      <c r="L27" s="2" t="s">
        <v>108</v>
      </c>
      <c r="M27" s="2" t="s">
        <v>109</v>
      </c>
    </row>
    <row r="28" customFormat="false" ht="57.45" hidden="false" customHeight="false" outlineLevel="0" collapsed="false">
      <c r="A28" s="2" t="n">
        <v>27</v>
      </c>
      <c r="B28" s="2" t="s">
        <v>107</v>
      </c>
      <c r="C28" s="2" t="n">
        <v>57195</v>
      </c>
      <c r="D28" s="2" t="s">
        <v>14</v>
      </c>
      <c r="E28" s="2" t="s">
        <v>33</v>
      </c>
      <c r="F28" s="2" t="s">
        <v>16</v>
      </c>
      <c r="G28" s="2" t="s">
        <v>110</v>
      </c>
      <c r="H28" s="2" t="s">
        <v>111</v>
      </c>
      <c r="I28" s="2"/>
      <c r="J28" s="3"/>
      <c r="K28" s="3"/>
      <c r="L28" s="2" t="s">
        <v>110</v>
      </c>
      <c r="M28" s="2" t="s">
        <v>111</v>
      </c>
    </row>
    <row r="29" customFormat="false" ht="68.65" hidden="false" customHeight="false" outlineLevel="0" collapsed="false">
      <c r="A29" s="2" t="n">
        <v>28</v>
      </c>
      <c r="B29" s="2" t="s">
        <v>112</v>
      </c>
      <c r="C29" s="2" t="n">
        <v>57256</v>
      </c>
      <c r="D29" s="2" t="s">
        <v>14</v>
      </c>
      <c r="E29" s="2" t="s">
        <v>33</v>
      </c>
      <c r="F29" s="2" t="s">
        <v>16</v>
      </c>
      <c r="G29" s="2" t="s">
        <v>113</v>
      </c>
      <c r="H29" s="2" t="s">
        <v>114</v>
      </c>
      <c r="I29" s="2" t="s">
        <v>30</v>
      </c>
      <c r="J29" s="3"/>
      <c r="K29" s="3"/>
      <c r="L29" s="2" t="s">
        <v>115</v>
      </c>
      <c r="M29" s="2" t="s">
        <v>116</v>
      </c>
    </row>
    <row r="30" customFormat="false" ht="102.2" hidden="false" customHeight="false" outlineLevel="0" collapsed="false">
      <c r="A30" s="2" t="n">
        <v>29</v>
      </c>
      <c r="B30" s="2" t="s">
        <v>112</v>
      </c>
      <c r="C30" s="2" t="n">
        <v>57256</v>
      </c>
      <c r="D30" s="2" t="s">
        <v>14</v>
      </c>
      <c r="E30" s="2" t="s">
        <v>15</v>
      </c>
      <c r="F30" s="2" t="s">
        <v>16</v>
      </c>
      <c r="G30" s="2" t="s">
        <v>117</v>
      </c>
      <c r="H30" s="2" t="s">
        <v>118</v>
      </c>
      <c r="I30" s="2" t="s">
        <v>38</v>
      </c>
      <c r="J30" s="3"/>
      <c r="K30" s="3"/>
      <c r="L30" s="2" t="s">
        <v>119</v>
      </c>
      <c r="M30" s="2" t="s">
        <v>120</v>
      </c>
    </row>
    <row r="31" customFormat="false" ht="102.2" hidden="false" customHeight="false" outlineLevel="0" collapsed="false">
      <c r="A31" s="2" t="n">
        <v>30</v>
      </c>
      <c r="B31" s="2" t="s">
        <v>112</v>
      </c>
      <c r="C31" s="2" t="n">
        <v>57256</v>
      </c>
      <c r="D31" s="2" t="s">
        <v>22</v>
      </c>
      <c r="E31" s="2" t="s">
        <v>15</v>
      </c>
      <c r="F31" s="2" t="s">
        <v>16</v>
      </c>
      <c r="G31" s="2" t="s">
        <v>117</v>
      </c>
      <c r="H31" s="2" t="s">
        <v>118</v>
      </c>
      <c r="I31" s="2" t="s">
        <v>41</v>
      </c>
      <c r="J31" s="3"/>
      <c r="K31" s="3"/>
      <c r="L31" s="2" t="s">
        <v>121</v>
      </c>
      <c r="M31" s="2" t="s">
        <v>122</v>
      </c>
    </row>
    <row r="32" customFormat="false" ht="68.65" hidden="false" customHeight="false" outlineLevel="0" collapsed="false">
      <c r="A32" s="2" t="n">
        <v>31</v>
      </c>
      <c r="B32" s="2" t="s">
        <v>123</v>
      </c>
      <c r="C32" s="2" t="n">
        <v>57187</v>
      </c>
      <c r="D32" s="2" t="s">
        <v>14</v>
      </c>
      <c r="E32" s="2" t="s">
        <v>124</v>
      </c>
      <c r="F32" s="2" t="s">
        <v>16</v>
      </c>
      <c r="G32" s="2" t="s">
        <v>125</v>
      </c>
      <c r="H32" s="2" t="s">
        <v>126</v>
      </c>
      <c r="I32" s="2" t="s">
        <v>127</v>
      </c>
      <c r="J32" s="3"/>
      <c r="K32" s="3"/>
      <c r="L32" s="2" t="s">
        <v>125</v>
      </c>
      <c r="M32" s="2" t="s">
        <v>126</v>
      </c>
    </row>
    <row r="33" customFormat="false" ht="79.85" hidden="false" customHeight="false" outlineLevel="0" collapsed="false">
      <c r="A33" s="2" t="n">
        <v>32</v>
      </c>
      <c r="B33" s="2" t="s">
        <v>123</v>
      </c>
      <c r="C33" s="2" t="n">
        <v>57187</v>
      </c>
      <c r="D33" s="2" t="s">
        <v>14</v>
      </c>
      <c r="E33" s="2" t="s">
        <v>128</v>
      </c>
      <c r="F33" s="2" t="s">
        <v>16</v>
      </c>
      <c r="G33" s="2" t="s">
        <v>129</v>
      </c>
      <c r="H33" s="2" t="s">
        <v>130</v>
      </c>
      <c r="I33" s="2" t="s">
        <v>131</v>
      </c>
      <c r="J33" s="3"/>
      <c r="K33" s="3"/>
      <c r="L33" s="2" t="s">
        <v>132</v>
      </c>
      <c r="M33" s="2" t="s">
        <v>133</v>
      </c>
    </row>
    <row r="34" customFormat="false" ht="79.85" hidden="false" customHeight="false" outlineLevel="0" collapsed="false">
      <c r="A34" s="2" t="n">
        <v>33</v>
      </c>
      <c r="B34" s="2" t="s">
        <v>123</v>
      </c>
      <c r="C34" s="2" t="n">
        <v>57187</v>
      </c>
      <c r="D34" s="2" t="s">
        <v>22</v>
      </c>
      <c r="E34" s="2" t="s">
        <v>134</v>
      </c>
      <c r="F34" s="2" t="s">
        <v>16</v>
      </c>
      <c r="G34" s="2" t="s">
        <v>129</v>
      </c>
      <c r="H34" s="2" t="s">
        <v>130</v>
      </c>
      <c r="I34" s="2" t="s">
        <v>135</v>
      </c>
      <c r="J34" s="3"/>
      <c r="K34" s="3"/>
      <c r="L34" s="2" t="s">
        <v>136</v>
      </c>
      <c r="M34" s="2" t="s">
        <v>137</v>
      </c>
    </row>
    <row r="35" customFormat="false" ht="68.65" hidden="false" customHeight="false" outlineLevel="0" collapsed="false">
      <c r="A35" s="2" t="n">
        <v>34</v>
      </c>
      <c r="B35" s="2" t="s">
        <v>138</v>
      </c>
      <c r="C35" s="2" t="n">
        <v>57171</v>
      </c>
      <c r="D35" s="2" t="s">
        <v>14</v>
      </c>
      <c r="E35" s="2" t="s">
        <v>139</v>
      </c>
      <c r="F35" s="2" t="s">
        <v>16</v>
      </c>
      <c r="G35" s="2" t="s">
        <v>140</v>
      </c>
      <c r="H35" s="2" t="s">
        <v>141</v>
      </c>
      <c r="I35" s="2" t="s">
        <v>127</v>
      </c>
      <c r="J35" s="3"/>
      <c r="K35" s="3"/>
      <c r="L35" s="2" t="s">
        <v>140</v>
      </c>
      <c r="M35" s="2" t="s">
        <v>141</v>
      </c>
    </row>
    <row r="36" customFormat="false" ht="68.65" hidden="false" customHeight="false" outlineLevel="0" collapsed="false">
      <c r="A36" s="2" t="n">
        <v>35</v>
      </c>
      <c r="B36" s="2" t="s">
        <v>142</v>
      </c>
      <c r="C36" s="2" t="n">
        <v>57028</v>
      </c>
      <c r="D36" s="2" t="s">
        <v>14</v>
      </c>
      <c r="E36" s="2" t="s">
        <v>143</v>
      </c>
      <c r="F36" s="2" t="s">
        <v>16</v>
      </c>
      <c r="G36" s="2" t="s">
        <v>144</v>
      </c>
      <c r="H36" s="2" t="s">
        <v>145</v>
      </c>
      <c r="I36" s="2" t="s">
        <v>127</v>
      </c>
      <c r="J36" s="3"/>
      <c r="K36" s="3"/>
      <c r="L36" s="2" t="s">
        <v>144</v>
      </c>
      <c r="M36" s="2" t="s">
        <v>145</v>
      </c>
    </row>
    <row r="37" customFormat="false" ht="57.45" hidden="false" customHeight="false" outlineLevel="0" collapsed="false">
      <c r="A37" s="2" t="n">
        <v>36</v>
      </c>
      <c r="B37" s="2" t="s">
        <v>142</v>
      </c>
      <c r="C37" s="2" t="n">
        <v>57028</v>
      </c>
      <c r="D37" s="2" t="s">
        <v>14</v>
      </c>
      <c r="E37" s="2" t="s">
        <v>124</v>
      </c>
      <c r="F37" s="2" t="s">
        <v>16</v>
      </c>
      <c r="G37" s="2" t="s">
        <v>146</v>
      </c>
      <c r="H37" s="2" t="s">
        <v>147</v>
      </c>
      <c r="I37" s="2" t="s">
        <v>131</v>
      </c>
      <c r="J37" s="3"/>
      <c r="K37" s="3"/>
      <c r="L37" s="2" t="s">
        <v>146</v>
      </c>
      <c r="M37" s="2" t="s">
        <v>147</v>
      </c>
    </row>
    <row r="38" customFormat="false" ht="79.85" hidden="false" customHeight="false" outlineLevel="0" collapsed="false">
      <c r="A38" s="2" t="n">
        <v>37</v>
      </c>
      <c r="B38" s="2" t="s">
        <v>142</v>
      </c>
      <c r="C38" s="2" t="n">
        <v>57028</v>
      </c>
      <c r="D38" s="2" t="s">
        <v>14</v>
      </c>
      <c r="E38" s="2" t="s">
        <v>148</v>
      </c>
      <c r="F38" s="2" t="s">
        <v>16</v>
      </c>
      <c r="G38" s="2" t="s">
        <v>149</v>
      </c>
      <c r="H38" s="2" t="s">
        <v>150</v>
      </c>
      <c r="I38" s="2" t="s">
        <v>131</v>
      </c>
      <c r="J38" s="3"/>
      <c r="K38" s="3"/>
      <c r="L38" s="2" t="s">
        <v>151</v>
      </c>
      <c r="M38" s="2" t="s">
        <v>152</v>
      </c>
    </row>
    <row r="39" customFormat="false" ht="79.85" hidden="false" customHeight="false" outlineLevel="0" collapsed="false">
      <c r="A39" s="2" t="n">
        <v>38</v>
      </c>
      <c r="B39" s="2" t="s">
        <v>142</v>
      </c>
      <c r="C39" s="2" t="n">
        <v>57028</v>
      </c>
      <c r="D39" s="2" t="s">
        <v>22</v>
      </c>
      <c r="E39" s="2" t="s">
        <v>153</v>
      </c>
      <c r="F39" s="2" t="s">
        <v>16</v>
      </c>
      <c r="G39" s="2" t="s">
        <v>149</v>
      </c>
      <c r="H39" s="2" t="s">
        <v>150</v>
      </c>
      <c r="I39" s="2" t="s">
        <v>135</v>
      </c>
      <c r="J39" s="3"/>
      <c r="K39" s="3"/>
      <c r="L39" s="2" t="s">
        <v>154</v>
      </c>
      <c r="M39" s="2" t="s">
        <v>155</v>
      </c>
    </row>
    <row r="40" customFormat="false" ht="68.65" hidden="false" customHeight="false" outlineLevel="0" collapsed="false">
      <c r="A40" s="2" t="n">
        <v>39</v>
      </c>
      <c r="B40" s="2" t="s">
        <v>156</v>
      </c>
      <c r="C40" s="2" t="n">
        <v>57031</v>
      </c>
      <c r="D40" s="2" t="s">
        <v>14</v>
      </c>
      <c r="E40" s="2" t="s">
        <v>143</v>
      </c>
      <c r="F40" s="2" t="s">
        <v>16</v>
      </c>
      <c r="G40" s="2" t="s">
        <v>157</v>
      </c>
      <c r="H40" s="2" t="s">
        <v>158</v>
      </c>
      <c r="I40" s="2" t="s">
        <v>127</v>
      </c>
      <c r="J40" s="3"/>
      <c r="K40" s="3"/>
      <c r="L40" s="2" t="s">
        <v>157</v>
      </c>
      <c r="M40" s="2" t="s">
        <v>158</v>
      </c>
    </row>
    <row r="41" customFormat="false" ht="57.45" hidden="false" customHeight="false" outlineLevel="0" collapsed="false">
      <c r="A41" s="2" t="n">
        <v>40</v>
      </c>
      <c r="B41" s="2" t="s">
        <v>156</v>
      </c>
      <c r="C41" s="2" t="n">
        <v>57031</v>
      </c>
      <c r="D41" s="2" t="s">
        <v>14</v>
      </c>
      <c r="E41" s="2" t="s">
        <v>124</v>
      </c>
      <c r="F41" s="2" t="s">
        <v>16</v>
      </c>
      <c r="G41" s="2" t="s">
        <v>159</v>
      </c>
      <c r="H41" s="2" t="s">
        <v>160</v>
      </c>
      <c r="I41" s="2" t="s">
        <v>131</v>
      </c>
      <c r="J41" s="3"/>
      <c r="K41" s="3"/>
      <c r="L41" s="2" t="s">
        <v>159</v>
      </c>
      <c r="M41" s="2" t="s">
        <v>160</v>
      </c>
    </row>
    <row r="42" customFormat="false" ht="91" hidden="false" customHeight="false" outlineLevel="0" collapsed="false">
      <c r="A42" s="2" t="n">
        <v>41</v>
      </c>
      <c r="B42" s="2" t="s">
        <v>156</v>
      </c>
      <c r="C42" s="2" t="n">
        <v>57031</v>
      </c>
      <c r="D42" s="2" t="s">
        <v>14</v>
      </c>
      <c r="E42" s="2" t="s">
        <v>161</v>
      </c>
      <c r="F42" s="2" t="s">
        <v>16</v>
      </c>
      <c r="G42" s="2" t="s">
        <v>162</v>
      </c>
      <c r="H42" s="2" t="s">
        <v>163</v>
      </c>
      <c r="I42" s="2" t="s">
        <v>131</v>
      </c>
      <c r="J42" s="3"/>
      <c r="K42" s="3"/>
      <c r="L42" s="2" t="s">
        <v>164</v>
      </c>
      <c r="M42" s="2" t="s">
        <v>165</v>
      </c>
    </row>
    <row r="43" customFormat="false" ht="79.85" hidden="false" customHeight="false" outlineLevel="0" collapsed="false">
      <c r="A43" s="2" t="n">
        <v>42</v>
      </c>
      <c r="B43" s="2" t="s">
        <v>156</v>
      </c>
      <c r="C43" s="2" t="n">
        <v>57031</v>
      </c>
      <c r="D43" s="2" t="s">
        <v>22</v>
      </c>
      <c r="E43" s="2" t="s">
        <v>166</v>
      </c>
      <c r="F43" s="2" t="s">
        <v>16</v>
      </c>
      <c r="G43" s="2" t="s">
        <v>162</v>
      </c>
      <c r="H43" s="2" t="s">
        <v>163</v>
      </c>
      <c r="I43" s="2" t="s">
        <v>135</v>
      </c>
      <c r="J43" s="3"/>
      <c r="K43" s="3"/>
      <c r="L43" s="2" t="s">
        <v>167</v>
      </c>
      <c r="M43" s="2" t="s">
        <v>168</v>
      </c>
    </row>
    <row r="44" customFormat="false" ht="68.65" hidden="false" customHeight="false" outlineLevel="0" collapsed="false">
      <c r="A44" s="2" t="n">
        <v>43</v>
      </c>
      <c r="B44" s="2" t="s">
        <v>169</v>
      </c>
      <c r="C44" s="2" t="n">
        <v>57029</v>
      </c>
      <c r="D44" s="2" t="s">
        <v>14</v>
      </c>
      <c r="E44" s="2" t="s">
        <v>143</v>
      </c>
      <c r="F44" s="2" t="s">
        <v>16</v>
      </c>
      <c r="G44" s="2" t="s">
        <v>170</v>
      </c>
      <c r="H44" s="2" t="s">
        <v>171</v>
      </c>
      <c r="I44" s="2" t="s">
        <v>127</v>
      </c>
      <c r="J44" s="3"/>
      <c r="K44" s="3"/>
      <c r="L44" s="2" t="s">
        <v>170</v>
      </c>
      <c r="M44" s="2" t="s">
        <v>171</v>
      </c>
    </row>
    <row r="45" customFormat="false" ht="68.65" hidden="false" customHeight="false" outlineLevel="0" collapsed="false">
      <c r="A45" s="2" t="n">
        <v>44</v>
      </c>
      <c r="B45" s="2" t="s">
        <v>169</v>
      </c>
      <c r="C45" s="2" t="n">
        <v>57029</v>
      </c>
      <c r="D45" s="2" t="s">
        <v>14</v>
      </c>
      <c r="E45" s="2" t="s">
        <v>124</v>
      </c>
      <c r="F45" s="2" t="s">
        <v>16</v>
      </c>
      <c r="G45" s="2" t="s">
        <v>172</v>
      </c>
      <c r="H45" s="2" t="s">
        <v>173</v>
      </c>
      <c r="I45" s="2" t="s">
        <v>131</v>
      </c>
      <c r="J45" s="3"/>
      <c r="K45" s="3"/>
      <c r="L45" s="2" t="s">
        <v>172</v>
      </c>
      <c r="M45" s="2" t="s">
        <v>173</v>
      </c>
    </row>
    <row r="46" customFormat="false" ht="68.65" hidden="false" customHeight="false" outlineLevel="0" collapsed="false">
      <c r="A46" s="2" t="n">
        <v>45</v>
      </c>
      <c r="B46" s="2" t="s">
        <v>169</v>
      </c>
      <c r="C46" s="2" t="n">
        <v>57029</v>
      </c>
      <c r="D46" s="2" t="s">
        <v>14</v>
      </c>
      <c r="E46" s="2" t="s">
        <v>174</v>
      </c>
      <c r="F46" s="2" t="s">
        <v>16</v>
      </c>
      <c r="G46" s="2" t="s">
        <v>175</v>
      </c>
      <c r="H46" s="2" t="s">
        <v>176</v>
      </c>
      <c r="I46" s="2" t="s">
        <v>131</v>
      </c>
      <c r="J46" s="3"/>
      <c r="K46" s="3"/>
      <c r="L46" s="2" t="s">
        <v>177</v>
      </c>
      <c r="M46" s="2" t="s">
        <v>178</v>
      </c>
    </row>
    <row r="47" customFormat="false" ht="57.45" hidden="false" customHeight="false" outlineLevel="0" collapsed="false">
      <c r="A47" s="2" t="n">
        <v>46</v>
      </c>
      <c r="B47" s="2" t="s">
        <v>169</v>
      </c>
      <c r="C47" s="2" t="n">
        <v>57029</v>
      </c>
      <c r="D47" s="2" t="s">
        <v>22</v>
      </c>
      <c r="E47" s="2" t="s">
        <v>179</v>
      </c>
      <c r="F47" s="2" t="s">
        <v>16</v>
      </c>
      <c r="G47" s="2" t="s">
        <v>175</v>
      </c>
      <c r="H47" s="2" t="s">
        <v>176</v>
      </c>
      <c r="I47" s="2" t="s">
        <v>135</v>
      </c>
      <c r="J47" s="3"/>
      <c r="K47" s="3"/>
      <c r="L47" s="2" t="s">
        <v>180</v>
      </c>
      <c r="M47" s="2" t="s">
        <v>181</v>
      </c>
    </row>
    <row r="48" customFormat="false" ht="68.65" hidden="false" customHeight="false" outlineLevel="0" collapsed="false">
      <c r="A48" s="2" t="n">
        <v>47</v>
      </c>
      <c r="B48" s="2" t="s">
        <v>182</v>
      </c>
      <c r="C48" s="2" t="n">
        <v>57027</v>
      </c>
      <c r="D48" s="2" t="s">
        <v>14</v>
      </c>
      <c r="E48" s="2" t="s">
        <v>143</v>
      </c>
      <c r="F48" s="2" t="s">
        <v>16</v>
      </c>
      <c r="G48" s="2" t="s">
        <v>183</v>
      </c>
      <c r="H48" s="2" t="s">
        <v>184</v>
      </c>
      <c r="I48" s="2" t="s">
        <v>127</v>
      </c>
      <c r="J48" s="3"/>
      <c r="K48" s="3"/>
      <c r="L48" s="2" t="s">
        <v>183</v>
      </c>
      <c r="M48" s="2" t="s">
        <v>184</v>
      </c>
    </row>
    <row r="49" customFormat="false" ht="68.65" hidden="false" customHeight="false" outlineLevel="0" collapsed="false">
      <c r="A49" s="2" t="n">
        <v>48</v>
      </c>
      <c r="B49" s="2" t="s">
        <v>182</v>
      </c>
      <c r="C49" s="2" t="n">
        <v>57027</v>
      </c>
      <c r="D49" s="2" t="s">
        <v>14</v>
      </c>
      <c r="E49" s="2" t="s">
        <v>124</v>
      </c>
      <c r="F49" s="2" t="s">
        <v>16</v>
      </c>
      <c r="G49" s="2" t="s">
        <v>185</v>
      </c>
      <c r="H49" s="2" t="s">
        <v>186</v>
      </c>
      <c r="I49" s="2" t="s">
        <v>131</v>
      </c>
      <c r="J49" s="3"/>
      <c r="K49" s="3"/>
      <c r="L49" s="2" t="s">
        <v>185</v>
      </c>
      <c r="M49" s="2" t="s">
        <v>186</v>
      </c>
    </row>
    <row r="50" customFormat="false" ht="79.85" hidden="false" customHeight="false" outlineLevel="0" collapsed="false">
      <c r="A50" s="2" t="n">
        <v>49</v>
      </c>
      <c r="B50" s="2" t="s">
        <v>182</v>
      </c>
      <c r="C50" s="2" t="n">
        <v>57027</v>
      </c>
      <c r="D50" s="2" t="s">
        <v>14</v>
      </c>
      <c r="E50" s="2" t="s">
        <v>187</v>
      </c>
      <c r="F50" s="2" t="s">
        <v>16</v>
      </c>
      <c r="G50" s="2" t="s">
        <v>188</v>
      </c>
      <c r="H50" s="2" t="s">
        <v>189</v>
      </c>
      <c r="I50" s="2" t="s">
        <v>131</v>
      </c>
      <c r="J50" s="3"/>
      <c r="K50" s="3"/>
      <c r="L50" s="2" t="s">
        <v>190</v>
      </c>
      <c r="M50" s="2" t="s">
        <v>191</v>
      </c>
    </row>
    <row r="51" customFormat="false" ht="79.85" hidden="false" customHeight="false" outlineLevel="0" collapsed="false">
      <c r="A51" s="2" t="n">
        <v>50</v>
      </c>
      <c r="B51" s="2" t="s">
        <v>182</v>
      </c>
      <c r="C51" s="2" t="n">
        <v>57027</v>
      </c>
      <c r="D51" s="2" t="s">
        <v>22</v>
      </c>
      <c r="E51" s="2" t="s">
        <v>192</v>
      </c>
      <c r="F51" s="2" t="s">
        <v>16</v>
      </c>
      <c r="G51" s="2" t="s">
        <v>188</v>
      </c>
      <c r="H51" s="2" t="s">
        <v>189</v>
      </c>
      <c r="I51" s="2" t="s">
        <v>135</v>
      </c>
      <c r="J51" s="3"/>
      <c r="K51" s="3"/>
      <c r="L51" s="2" t="s">
        <v>193</v>
      </c>
      <c r="M51" s="2" t="s">
        <v>194</v>
      </c>
    </row>
    <row r="52" customFormat="false" ht="91" hidden="false" customHeight="false" outlineLevel="0" collapsed="false">
      <c r="A52" s="2" t="n">
        <v>51</v>
      </c>
      <c r="B52" s="2" t="s">
        <v>195</v>
      </c>
      <c r="C52" s="2" t="n">
        <v>56975</v>
      </c>
      <c r="D52" s="2" t="s">
        <v>14</v>
      </c>
      <c r="E52" s="2" t="s">
        <v>196</v>
      </c>
      <c r="F52" s="2" t="s">
        <v>16</v>
      </c>
      <c r="G52" s="2" t="s">
        <v>197</v>
      </c>
      <c r="H52" s="2" t="s">
        <v>198</v>
      </c>
      <c r="I52" s="2" t="s">
        <v>127</v>
      </c>
      <c r="J52" s="3"/>
      <c r="K52" s="3"/>
      <c r="L52" s="2" t="s">
        <v>199</v>
      </c>
      <c r="M52" s="2" t="s">
        <v>200</v>
      </c>
    </row>
    <row r="53" customFormat="false" ht="57.45" hidden="false" customHeight="false" outlineLevel="0" collapsed="false">
      <c r="A53" s="2" t="n">
        <v>52</v>
      </c>
      <c r="B53" s="2" t="s">
        <v>195</v>
      </c>
      <c r="C53" s="2" t="n">
        <v>56975</v>
      </c>
      <c r="D53" s="2" t="s">
        <v>14</v>
      </c>
      <c r="E53" s="2" t="s">
        <v>201</v>
      </c>
      <c r="F53" s="2" t="s">
        <v>16</v>
      </c>
      <c r="G53" s="2" t="s">
        <v>202</v>
      </c>
      <c r="H53" s="2" t="s">
        <v>203</v>
      </c>
      <c r="I53" s="2" t="s">
        <v>131</v>
      </c>
      <c r="J53" s="3"/>
      <c r="K53" s="3"/>
      <c r="L53" s="2" t="s">
        <v>204</v>
      </c>
      <c r="M53" s="2" t="s">
        <v>205</v>
      </c>
    </row>
    <row r="54" customFormat="false" ht="57.45" hidden="false" customHeight="false" outlineLevel="0" collapsed="false">
      <c r="A54" s="2" t="n">
        <v>53</v>
      </c>
      <c r="B54" s="2" t="s">
        <v>206</v>
      </c>
      <c r="C54" s="2" t="n">
        <v>56967</v>
      </c>
      <c r="D54" s="2" t="s">
        <v>14</v>
      </c>
      <c r="E54" s="2" t="s">
        <v>207</v>
      </c>
      <c r="F54" s="2" t="s">
        <v>16</v>
      </c>
      <c r="G54" s="2" t="s">
        <v>208</v>
      </c>
      <c r="H54" s="2" t="s">
        <v>209</v>
      </c>
      <c r="I54" s="2" t="s">
        <v>127</v>
      </c>
      <c r="J54" s="3"/>
      <c r="K54" s="3"/>
      <c r="L54" s="2" t="s">
        <v>210</v>
      </c>
      <c r="M54" s="2" t="s">
        <v>211</v>
      </c>
    </row>
    <row r="55" customFormat="false" ht="68.65" hidden="false" customHeight="false" outlineLevel="0" collapsed="false">
      <c r="A55" s="2" t="n">
        <v>54</v>
      </c>
      <c r="B55" s="2" t="s">
        <v>212</v>
      </c>
      <c r="C55" s="2" t="n">
        <v>56955</v>
      </c>
      <c r="D55" s="2" t="s">
        <v>14</v>
      </c>
      <c r="E55" s="2" t="s">
        <v>213</v>
      </c>
      <c r="F55" s="2" t="s">
        <v>16</v>
      </c>
      <c r="G55" s="2" t="s">
        <v>214</v>
      </c>
      <c r="H55" s="2" t="s">
        <v>215</v>
      </c>
      <c r="I55" s="2" t="s">
        <v>127</v>
      </c>
      <c r="J55" s="3"/>
      <c r="K55" s="3"/>
      <c r="L55" s="2" t="s">
        <v>216</v>
      </c>
      <c r="M55" s="2" t="s">
        <v>217</v>
      </c>
    </row>
    <row r="56" customFormat="false" ht="46.25" hidden="false" customHeight="false" outlineLevel="0" collapsed="false">
      <c r="A56" s="4" t="n">
        <v>55</v>
      </c>
      <c r="B56" s="4" t="s">
        <v>218</v>
      </c>
      <c r="C56" s="4" t="n">
        <v>54502</v>
      </c>
      <c r="D56" s="4" t="s">
        <v>14</v>
      </c>
      <c r="E56" s="4" t="s">
        <v>219</v>
      </c>
      <c r="F56" s="4" t="s">
        <v>220</v>
      </c>
      <c r="G56" s="4" t="s">
        <v>221</v>
      </c>
      <c r="H56" s="4" t="s">
        <v>221</v>
      </c>
      <c r="I56" s="4" t="s">
        <v>222</v>
      </c>
      <c r="J56" s="3"/>
      <c r="K56" s="3"/>
      <c r="L56" s="2" t="s">
        <v>223</v>
      </c>
      <c r="M56" s="2" t="s">
        <v>223</v>
      </c>
    </row>
    <row r="57" customFormat="false" ht="35.05" hidden="false" customHeight="false" outlineLevel="0" collapsed="false">
      <c r="A57" s="4" t="n">
        <v>56</v>
      </c>
      <c r="B57" s="4" t="s">
        <v>218</v>
      </c>
      <c r="C57" s="4" t="n">
        <v>54502</v>
      </c>
      <c r="D57" s="4" t="s">
        <v>14</v>
      </c>
      <c r="E57" s="4" t="s">
        <v>224</v>
      </c>
      <c r="F57" s="4" t="s">
        <v>220</v>
      </c>
      <c r="G57" s="4" t="s">
        <v>225</v>
      </c>
      <c r="H57" s="4" t="s">
        <v>225</v>
      </c>
      <c r="I57" s="4" t="s">
        <v>226</v>
      </c>
      <c r="J57" s="3"/>
      <c r="K57" s="3"/>
      <c r="L57" s="2" t="s">
        <v>225</v>
      </c>
      <c r="M57" s="2" t="s">
        <v>225</v>
      </c>
    </row>
    <row r="58" customFormat="false" ht="46.25" hidden="false" customHeight="false" outlineLevel="0" collapsed="false">
      <c r="A58" s="4" t="n">
        <v>57</v>
      </c>
      <c r="B58" s="4" t="s">
        <v>218</v>
      </c>
      <c r="C58" s="4" t="n">
        <v>54502</v>
      </c>
      <c r="D58" s="4" t="s">
        <v>14</v>
      </c>
      <c r="E58" s="4" t="s">
        <v>224</v>
      </c>
      <c r="F58" s="4" t="s">
        <v>220</v>
      </c>
      <c r="G58" s="4" t="s">
        <v>227</v>
      </c>
      <c r="H58" s="4" t="s">
        <v>227</v>
      </c>
      <c r="I58" s="4" t="s">
        <v>228</v>
      </c>
      <c r="J58" s="3"/>
      <c r="K58" s="3"/>
      <c r="L58" s="2" t="s">
        <v>227</v>
      </c>
      <c r="M58" s="2" t="s">
        <v>227</v>
      </c>
    </row>
    <row r="59" customFormat="false" ht="35.05" hidden="false" customHeight="false" outlineLevel="0" collapsed="false">
      <c r="A59" s="4" t="n">
        <v>58</v>
      </c>
      <c r="B59" s="4" t="s">
        <v>218</v>
      </c>
      <c r="C59" s="4" t="n">
        <v>54502</v>
      </c>
      <c r="D59" s="4" t="s">
        <v>14</v>
      </c>
      <c r="E59" s="4" t="s">
        <v>229</v>
      </c>
      <c r="F59" s="4" t="s">
        <v>220</v>
      </c>
      <c r="G59" s="4" t="s">
        <v>230</v>
      </c>
      <c r="H59" s="4" t="s">
        <v>230</v>
      </c>
      <c r="I59" s="4" t="s">
        <v>231</v>
      </c>
      <c r="J59" s="3"/>
      <c r="K59" s="3"/>
      <c r="L59" s="2" t="s">
        <v>232</v>
      </c>
      <c r="M59" s="2" t="s">
        <v>232</v>
      </c>
    </row>
    <row r="60" customFormat="false" ht="35.05" hidden="false" customHeight="false" outlineLevel="0" collapsed="false">
      <c r="A60" s="4" t="n">
        <v>59</v>
      </c>
      <c r="B60" s="4" t="s">
        <v>218</v>
      </c>
      <c r="C60" s="4" t="n">
        <v>54502</v>
      </c>
      <c r="D60" s="4" t="s">
        <v>14</v>
      </c>
      <c r="E60" s="4" t="s">
        <v>229</v>
      </c>
      <c r="F60" s="4" t="s">
        <v>220</v>
      </c>
      <c r="G60" s="4" t="s">
        <v>233</v>
      </c>
      <c r="H60" s="4" t="s">
        <v>233</v>
      </c>
      <c r="I60" s="4" t="s">
        <v>234</v>
      </c>
      <c r="J60" s="3"/>
      <c r="K60" s="3"/>
      <c r="L60" s="2" t="s">
        <v>235</v>
      </c>
      <c r="M60" s="2" t="s">
        <v>235</v>
      </c>
    </row>
    <row r="61" customFormat="false" ht="35.05" hidden="false" customHeight="false" outlineLevel="0" collapsed="false">
      <c r="A61" s="4" t="n">
        <v>60</v>
      </c>
      <c r="B61" s="4" t="s">
        <v>218</v>
      </c>
      <c r="C61" s="4" t="n">
        <v>54502</v>
      </c>
      <c r="D61" s="4" t="s">
        <v>14</v>
      </c>
      <c r="E61" s="4" t="s">
        <v>236</v>
      </c>
      <c r="F61" s="4" t="s">
        <v>220</v>
      </c>
      <c r="G61" s="4" t="s">
        <v>237</v>
      </c>
      <c r="H61" s="4" t="s">
        <v>237</v>
      </c>
      <c r="I61" s="4" t="s">
        <v>238</v>
      </c>
      <c r="J61" s="3"/>
      <c r="K61" s="3"/>
      <c r="L61" s="2" t="s">
        <v>237</v>
      </c>
      <c r="M61" s="2" t="s">
        <v>237</v>
      </c>
    </row>
    <row r="62" customFormat="false" ht="35.05" hidden="false" customHeight="false" outlineLevel="0" collapsed="false">
      <c r="A62" s="4" t="n">
        <v>61</v>
      </c>
      <c r="B62" s="4" t="s">
        <v>218</v>
      </c>
      <c r="C62" s="4" t="n">
        <v>54502</v>
      </c>
      <c r="D62" s="4" t="s">
        <v>14</v>
      </c>
      <c r="E62" s="4" t="s">
        <v>239</v>
      </c>
      <c r="F62" s="4" t="s">
        <v>220</v>
      </c>
      <c r="G62" s="4" t="s">
        <v>240</v>
      </c>
      <c r="H62" s="4" t="s">
        <v>240</v>
      </c>
      <c r="I62" s="4" t="s">
        <v>241</v>
      </c>
      <c r="J62" s="3"/>
      <c r="K62" s="3"/>
      <c r="L62" s="2" t="s">
        <v>240</v>
      </c>
      <c r="M62" s="2" t="s">
        <v>240</v>
      </c>
    </row>
    <row r="63" customFormat="false" ht="23.85" hidden="false" customHeight="false" outlineLevel="0" collapsed="false">
      <c r="A63" s="4" t="n">
        <v>62</v>
      </c>
      <c r="B63" s="4" t="s">
        <v>218</v>
      </c>
      <c r="C63" s="4" t="n">
        <v>54502</v>
      </c>
      <c r="D63" s="4" t="s">
        <v>14</v>
      </c>
      <c r="E63" s="4" t="s">
        <v>242</v>
      </c>
      <c r="F63" s="4" t="s">
        <v>220</v>
      </c>
      <c r="G63" s="4" t="s">
        <v>243</v>
      </c>
      <c r="H63" s="4" t="s">
        <v>243</v>
      </c>
      <c r="I63" s="4" t="s">
        <v>241</v>
      </c>
      <c r="J63" s="3"/>
      <c r="K63" s="3"/>
      <c r="L63" s="2" t="s">
        <v>243</v>
      </c>
      <c r="M63" s="2" t="s">
        <v>243</v>
      </c>
    </row>
    <row r="64" customFormat="false" ht="46.25" hidden="false" customHeight="false" outlineLevel="0" collapsed="false">
      <c r="A64" s="2" t="n">
        <v>63</v>
      </c>
      <c r="B64" s="2" t="s">
        <v>244</v>
      </c>
      <c r="C64" s="2" t="n">
        <v>56939</v>
      </c>
      <c r="D64" s="2" t="s">
        <v>14</v>
      </c>
      <c r="E64" s="2" t="s">
        <v>245</v>
      </c>
      <c r="F64" s="2" t="s">
        <v>16</v>
      </c>
      <c r="G64" s="2" t="s">
        <v>246</v>
      </c>
      <c r="H64" s="2" t="s">
        <v>247</v>
      </c>
      <c r="I64" s="2" t="s">
        <v>248</v>
      </c>
      <c r="J64" s="3"/>
      <c r="K64" s="3"/>
      <c r="L64" s="2" t="s">
        <v>249</v>
      </c>
      <c r="M64" s="2" t="s">
        <v>250</v>
      </c>
    </row>
    <row r="65" customFormat="false" ht="57.45" hidden="false" customHeight="false" outlineLevel="0" collapsed="false">
      <c r="A65" s="2" t="n">
        <v>64</v>
      </c>
      <c r="B65" s="2" t="s">
        <v>244</v>
      </c>
      <c r="C65" s="2" t="n">
        <v>56939</v>
      </c>
      <c r="D65" s="2" t="s">
        <v>14</v>
      </c>
      <c r="E65" s="2" t="s">
        <v>251</v>
      </c>
      <c r="F65" s="2" t="s">
        <v>16</v>
      </c>
      <c r="G65" s="2" t="s">
        <v>252</v>
      </c>
      <c r="H65" s="2" t="s">
        <v>253</v>
      </c>
      <c r="I65" s="2"/>
      <c r="J65" s="3"/>
      <c r="K65" s="3"/>
      <c r="L65" s="2" t="s">
        <v>254</v>
      </c>
      <c r="M65" s="2" t="s">
        <v>255</v>
      </c>
    </row>
    <row r="66" customFormat="false" ht="46.25" hidden="false" customHeight="false" outlineLevel="0" collapsed="false">
      <c r="A66" s="2" t="n">
        <v>65</v>
      </c>
      <c r="B66" s="2" t="s">
        <v>256</v>
      </c>
      <c r="C66" s="2" t="n">
        <v>54352</v>
      </c>
      <c r="D66" s="2" t="s">
        <v>14</v>
      </c>
      <c r="E66" s="2" t="s">
        <v>257</v>
      </c>
      <c r="F66" s="2" t="s">
        <v>16</v>
      </c>
      <c r="G66" s="2" t="s">
        <v>258</v>
      </c>
      <c r="H66" s="2" t="s">
        <v>259</v>
      </c>
      <c r="I66" s="2" t="s">
        <v>248</v>
      </c>
      <c r="J66" s="3"/>
      <c r="K66" s="3"/>
      <c r="L66" s="2" t="s">
        <v>260</v>
      </c>
      <c r="M66" s="2" t="s">
        <v>261</v>
      </c>
    </row>
    <row r="67" customFormat="false" ht="79.85" hidden="false" customHeight="false" outlineLevel="0" collapsed="false">
      <c r="A67" s="4" t="n">
        <v>66</v>
      </c>
      <c r="B67" s="4" t="s">
        <v>262</v>
      </c>
      <c r="C67" s="4" t="n">
        <v>53837</v>
      </c>
      <c r="D67" s="4" t="s">
        <v>14</v>
      </c>
      <c r="E67" s="4" t="s">
        <v>263</v>
      </c>
      <c r="F67" s="4" t="s">
        <v>220</v>
      </c>
      <c r="G67" s="4" t="s">
        <v>264</v>
      </c>
      <c r="H67" s="4" t="s">
        <v>264</v>
      </c>
      <c r="I67" s="4" t="s">
        <v>265</v>
      </c>
      <c r="J67" s="3"/>
      <c r="K67" s="3"/>
      <c r="L67" s="2" t="s">
        <v>264</v>
      </c>
      <c r="M67" s="2" t="s">
        <v>264</v>
      </c>
    </row>
    <row r="68" customFormat="false" ht="68.65" hidden="false" customHeight="false" outlineLevel="0" collapsed="false">
      <c r="A68" s="2" t="n">
        <v>67</v>
      </c>
      <c r="B68" s="2" t="s">
        <v>266</v>
      </c>
      <c r="C68" s="2" t="n">
        <v>53958</v>
      </c>
      <c r="D68" s="2" t="s">
        <v>14</v>
      </c>
      <c r="E68" s="2" t="s">
        <v>267</v>
      </c>
      <c r="F68" s="2" t="s">
        <v>16</v>
      </c>
      <c r="G68" s="2" t="s">
        <v>268</v>
      </c>
      <c r="H68" s="2" t="s">
        <v>269</v>
      </c>
      <c r="I68" s="2" t="s">
        <v>248</v>
      </c>
      <c r="J68" s="3"/>
      <c r="K68" s="3"/>
      <c r="L68" s="2" t="s">
        <v>268</v>
      </c>
      <c r="M68" s="2" t="s">
        <v>269</v>
      </c>
    </row>
    <row r="69" customFormat="false" ht="57.45" hidden="false" customHeight="false" outlineLevel="0" collapsed="false">
      <c r="A69" s="2" t="n">
        <v>68</v>
      </c>
      <c r="B69" s="2" t="s">
        <v>266</v>
      </c>
      <c r="C69" s="2" t="n">
        <v>53958</v>
      </c>
      <c r="D69" s="2" t="s">
        <v>14</v>
      </c>
      <c r="E69" s="2" t="s">
        <v>270</v>
      </c>
      <c r="F69" s="2" t="s">
        <v>16</v>
      </c>
      <c r="G69" s="2" t="s">
        <v>271</v>
      </c>
      <c r="H69" s="2" t="s">
        <v>272</v>
      </c>
      <c r="I69" s="2"/>
      <c r="J69" s="3"/>
      <c r="K69" s="3"/>
      <c r="L69" s="2" t="s">
        <v>271</v>
      </c>
      <c r="M69" s="2" t="s">
        <v>272</v>
      </c>
    </row>
    <row r="70" customFormat="false" ht="57.45" hidden="false" customHeight="false" outlineLevel="0" collapsed="false">
      <c r="A70" s="2" t="n">
        <v>69</v>
      </c>
      <c r="B70" s="2" t="s">
        <v>266</v>
      </c>
      <c r="C70" s="2" t="n">
        <v>53958</v>
      </c>
      <c r="D70" s="2" t="s">
        <v>14</v>
      </c>
      <c r="E70" s="2" t="s">
        <v>273</v>
      </c>
      <c r="F70" s="2" t="s">
        <v>16</v>
      </c>
      <c r="G70" s="2" t="s">
        <v>274</v>
      </c>
      <c r="H70" s="2" t="s">
        <v>275</v>
      </c>
      <c r="I70" s="2"/>
      <c r="J70" s="3"/>
      <c r="K70" s="3"/>
      <c r="L70" s="2" t="s">
        <v>276</v>
      </c>
      <c r="M70" s="2" t="s">
        <v>277</v>
      </c>
    </row>
    <row r="71" customFormat="false" ht="57.45" hidden="false" customHeight="false" outlineLevel="0" collapsed="false">
      <c r="A71" s="2" t="n">
        <v>70</v>
      </c>
      <c r="B71" s="2" t="s">
        <v>266</v>
      </c>
      <c r="C71" s="2" t="n">
        <v>53958</v>
      </c>
      <c r="D71" s="2" t="s">
        <v>22</v>
      </c>
      <c r="E71" s="2" t="s">
        <v>278</v>
      </c>
      <c r="F71" s="2" t="s">
        <v>16</v>
      </c>
      <c r="G71" s="2" t="s">
        <v>274</v>
      </c>
      <c r="H71" s="2" t="s">
        <v>275</v>
      </c>
      <c r="I71" s="2" t="s">
        <v>279</v>
      </c>
      <c r="J71" s="3"/>
      <c r="K71" s="3"/>
      <c r="L71" s="2" t="s">
        <v>280</v>
      </c>
      <c r="M71" s="2" t="s">
        <v>281</v>
      </c>
    </row>
    <row r="72" customFormat="false" ht="35.05" hidden="false" customHeight="false" outlineLevel="0" collapsed="false">
      <c r="A72" s="4" t="n">
        <v>71</v>
      </c>
      <c r="B72" s="4" t="s">
        <v>282</v>
      </c>
      <c r="C72" s="4" t="n">
        <v>53768</v>
      </c>
      <c r="D72" s="4" t="s">
        <v>14</v>
      </c>
      <c r="E72" s="4" t="s">
        <v>283</v>
      </c>
      <c r="F72" s="4" t="s">
        <v>220</v>
      </c>
      <c r="G72" s="4" t="s">
        <v>284</v>
      </c>
      <c r="H72" s="4" t="s">
        <v>284</v>
      </c>
      <c r="I72" s="4" t="s">
        <v>285</v>
      </c>
      <c r="J72" s="3"/>
      <c r="K72" s="3"/>
      <c r="L72" s="2" t="s">
        <v>286</v>
      </c>
      <c r="M72" s="2" t="s">
        <v>286</v>
      </c>
    </row>
    <row r="73" customFormat="false" ht="79.85" hidden="false" customHeight="false" outlineLevel="0" collapsed="false">
      <c r="A73" s="4" t="n">
        <v>72</v>
      </c>
      <c r="B73" s="4" t="s">
        <v>287</v>
      </c>
      <c r="C73" s="4" t="n">
        <v>53904</v>
      </c>
      <c r="D73" s="4" t="s">
        <v>14</v>
      </c>
      <c r="E73" s="4" t="s">
        <v>263</v>
      </c>
      <c r="F73" s="4" t="s">
        <v>220</v>
      </c>
      <c r="G73" s="4" t="s">
        <v>288</v>
      </c>
      <c r="H73" s="4" t="s">
        <v>288</v>
      </c>
      <c r="I73" s="4" t="s">
        <v>265</v>
      </c>
      <c r="J73" s="3"/>
      <c r="K73" s="3"/>
      <c r="L73" s="2" t="s">
        <v>288</v>
      </c>
      <c r="M73" s="2" t="s">
        <v>288</v>
      </c>
    </row>
    <row r="74" customFormat="false" ht="35.05" hidden="false" customHeight="false" outlineLevel="0" collapsed="false">
      <c r="A74" s="4" t="n">
        <v>73</v>
      </c>
      <c r="B74" s="4" t="s">
        <v>287</v>
      </c>
      <c r="C74" s="4" t="n">
        <v>53904</v>
      </c>
      <c r="D74" s="4" t="s">
        <v>14</v>
      </c>
      <c r="E74" s="4" t="s">
        <v>289</v>
      </c>
      <c r="F74" s="4" t="s">
        <v>220</v>
      </c>
      <c r="G74" s="4" t="s">
        <v>290</v>
      </c>
      <c r="H74" s="4" t="s">
        <v>290</v>
      </c>
      <c r="I74" s="4" t="s">
        <v>291</v>
      </c>
      <c r="J74" s="3"/>
      <c r="K74" s="3"/>
      <c r="L74" s="2" t="s">
        <v>290</v>
      </c>
      <c r="M74" s="2" t="s">
        <v>290</v>
      </c>
    </row>
    <row r="75" customFormat="false" ht="46.25" hidden="false" customHeight="false" outlineLevel="0" collapsed="false">
      <c r="A75" s="4" t="n">
        <v>74</v>
      </c>
      <c r="B75" s="4" t="s">
        <v>292</v>
      </c>
      <c r="C75" s="4" t="n">
        <v>53925</v>
      </c>
      <c r="D75" s="4" t="s">
        <v>14</v>
      </c>
      <c r="E75" s="4" t="s">
        <v>293</v>
      </c>
      <c r="F75" s="4" t="s">
        <v>220</v>
      </c>
      <c r="G75" s="4" t="s">
        <v>294</v>
      </c>
      <c r="H75" s="4" t="s">
        <v>294</v>
      </c>
      <c r="I75" s="4" t="s">
        <v>265</v>
      </c>
      <c r="J75" s="3"/>
      <c r="K75" s="3"/>
      <c r="L75" s="2" t="s">
        <v>295</v>
      </c>
      <c r="M75" s="2" t="s">
        <v>295</v>
      </c>
    </row>
    <row r="76" customFormat="false" ht="57.45" hidden="false" customHeight="false" outlineLevel="0" collapsed="false">
      <c r="A76" s="4" t="n">
        <v>75</v>
      </c>
      <c r="B76" s="4" t="s">
        <v>292</v>
      </c>
      <c r="C76" s="4" t="n">
        <v>53925</v>
      </c>
      <c r="D76" s="4" t="s">
        <v>14</v>
      </c>
      <c r="E76" s="4" t="s">
        <v>296</v>
      </c>
      <c r="F76" s="4" t="s">
        <v>220</v>
      </c>
      <c r="G76" s="4" t="s">
        <v>297</v>
      </c>
      <c r="H76" s="4" t="s">
        <v>297</v>
      </c>
      <c r="I76" s="4" t="s">
        <v>265</v>
      </c>
      <c r="J76" s="3"/>
      <c r="K76" s="3"/>
      <c r="L76" s="2" t="s">
        <v>298</v>
      </c>
      <c r="M76" s="2" t="s">
        <v>298</v>
      </c>
    </row>
    <row r="77" customFormat="false" ht="57.45" hidden="false" customHeight="false" outlineLevel="0" collapsed="false">
      <c r="A77" s="4" t="n">
        <v>76</v>
      </c>
      <c r="B77" s="4" t="s">
        <v>299</v>
      </c>
      <c r="C77" s="4" t="n">
        <v>53926</v>
      </c>
      <c r="D77" s="4" t="s">
        <v>14</v>
      </c>
      <c r="E77" s="4" t="s">
        <v>300</v>
      </c>
      <c r="F77" s="4" t="s">
        <v>220</v>
      </c>
      <c r="G77" s="4" t="s">
        <v>301</v>
      </c>
      <c r="H77" s="4" t="s">
        <v>301</v>
      </c>
      <c r="I77" s="4" t="s">
        <v>265</v>
      </c>
      <c r="J77" s="3"/>
      <c r="K77" s="3"/>
      <c r="L77" s="2" t="s">
        <v>301</v>
      </c>
      <c r="M77" s="2" t="s">
        <v>301</v>
      </c>
    </row>
    <row r="78" customFormat="false" ht="35.05" hidden="false" customHeight="false" outlineLevel="0" collapsed="false">
      <c r="A78" s="4" t="n">
        <v>77</v>
      </c>
      <c r="B78" s="4" t="s">
        <v>302</v>
      </c>
      <c r="C78" s="4" t="n">
        <v>53228</v>
      </c>
      <c r="D78" s="4" t="s">
        <v>14</v>
      </c>
      <c r="E78" s="4" t="s">
        <v>303</v>
      </c>
      <c r="F78" s="4" t="s">
        <v>220</v>
      </c>
      <c r="G78" s="4" t="s">
        <v>304</v>
      </c>
      <c r="H78" s="4" t="s">
        <v>304</v>
      </c>
      <c r="I78" s="4" t="s">
        <v>305</v>
      </c>
      <c r="J78" s="3"/>
      <c r="K78" s="3"/>
      <c r="L78" s="2" t="s">
        <v>306</v>
      </c>
      <c r="M78" s="2" t="s">
        <v>306</v>
      </c>
    </row>
    <row r="79" customFormat="false" ht="57.45" hidden="false" customHeight="false" outlineLevel="0" collapsed="false">
      <c r="A79" s="4" t="n">
        <v>78</v>
      </c>
      <c r="B79" s="4" t="s">
        <v>307</v>
      </c>
      <c r="C79" s="4" t="n">
        <v>52694</v>
      </c>
      <c r="D79" s="4" t="s">
        <v>14</v>
      </c>
      <c r="E79" s="4" t="s">
        <v>308</v>
      </c>
      <c r="F79" s="4" t="s">
        <v>220</v>
      </c>
      <c r="G79" s="4" t="s">
        <v>309</v>
      </c>
      <c r="H79" s="4" t="s">
        <v>309</v>
      </c>
      <c r="I79" s="4" t="s">
        <v>310</v>
      </c>
      <c r="J79" s="3"/>
      <c r="K79" s="3"/>
      <c r="L79" s="2" t="s">
        <v>309</v>
      </c>
      <c r="M79" s="2" t="s">
        <v>309</v>
      </c>
    </row>
    <row r="80" customFormat="false" ht="113.4" hidden="false" customHeight="false" outlineLevel="0" collapsed="false">
      <c r="A80" s="2" t="n">
        <v>79</v>
      </c>
      <c r="B80" s="2" t="s">
        <v>311</v>
      </c>
      <c r="C80" s="2" t="n">
        <v>52605</v>
      </c>
      <c r="D80" s="2" t="s">
        <v>14</v>
      </c>
      <c r="E80" s="2" t="s">
        <v>312</v>
      </c>
      <c r="F80" s="2" t="s">
        <v>16</v>
      </c>
      <c r="G80" s="2" t="s">
        <v>313</v>
      </c>
      <c r="H80" s="2" t="s">
        <v>314</v>
      </c>
      <c r="I80" s="2" t="s">
        <v>315</v>
      </c>
      <c r="J80" s="3"/>
      <c r="K80" s="3"/>
      <c r="L80" s="2" t="s">
        <v>313</v>
      </c>
      <c r="M80" s="2" t="s">
        <v>314</v>
      </c>
    </row>
    <row r="81" customFormat="false" ht="46.25" hidden="false" customHeight="false" outlineLevel="0" collapsed="false">
      <c r="A81" s="4" t="n">
        <v>80</v>
      </c>
      <c r="B81" s="4" t="s">
        <v>316</v>
      </c>
      <c r="C81" s="4" t="n">
        <v>51601</v>
      </c>
      <c r="D81" s="4" t="s">
        <v>14</v>
      </c>
      <c r="E81" s="4" t="s">
        <v>317</v>
      </c>
      <c r="F81" s="4" t="s">
        <v>220</v>
      </c>
      <c r="G81" s="4" t="s">
        <v>318</v>
      </c>
      <c r="H81" s="4" t="s">
        <v>318</v>
      </c>
      <c r="I81" s="4" t="s">
        <v>319</v>
      </c>
      <c r="J81" s="3"/>
      <c r="K81" s="3"/>
      <c r="L81" s="2" t="s">
        <v>318</v>
      </c>
      <c r="M81" s="2" t="s">
        <v>318</v>
      </c>
    </row>
    <row r="82" customFormat="false" ht="57.45" hidden="false" customHeight="false" outlineLevel="0" collapsed="false">
      <c r="A82" s="2" t="n">
        <v>81</v>
      </c>
      <c r="B82" s="2" t="s">
        <v>320</v>
      </c>
      <c r="C82" s="2" t="n">
        <v>51161</v>
      </c>
      <c r="D82" s="2" t="s">
        <v>14</v>
      </c>
      <c r="E82" s="2" t="s">
        <v>321</v>
      </c>
      <c r="F82" s="2" t="s">
        <v>16</v>
      </c>
      <c r="G82" s="2" t="s">
        <v>322</v>
      </c>
      <c r="H82" s="2" t="s">
        <v>323</v>
      </c>
      <c r="I82" s="2" t="s">
        <v>324</v>
      </c>
      <c r="J82" s="3"/>
      <c r="K82" s="3"/>
      <c r="L82" s="2" t="s">
        <v>325</v>
      </c>
      <c r="M82" s="2" t="s">
        <v>326</v>
      </c>
    </row>
    <row r="83" customFormat="false" ht="57.45" hidden="false" customHeight="false" outlineLevel="0" collapsed="false">
      <c r="A83" s="2" t="n">
        <v>82</v>
      </c>
      <c r="B83" s="2" t="s">
        <v>327</v>
      </c>
      <c r="C83" s="2" t="n">
        <v>51135</v>
      </c>
      <c r="D83" s="2" t="s">
        <v>14</v>
      </c>
      <c r="E83" s="2" t="s">
        <v>328</v>
      </c>
      <c r="F83" s="2" t="s">
        <v>16</v>
      </c>
      <c r="G83" s="2" t="s">
        <v>329</v>
      </c>
      <c r="H83" s="2" t="s">
        <v>330</v>
      </c>
      <c r="I83" s="2" t="s">
        <v>324</v>
      </c>
      <c r="J83" s="3"/>
      <c r="K83" s="3"/>
      <c r="L83" s="2" t="s">
        <v>329</v>
      </c>
      <c r="M83" s="2" t="s">
        <v>330</v>
      </c>
    </row>
    <row r="84" customFormat="false" ht="57.45" hidden="false" customHeight="false" outlineLevel="0" collapsed="false">
      <c r="A84" s="2" t="n">
        <v>83</v>
      </c>
      <c r="B84" s="2" t="s">
        <v>327</v>
      </c>
      <c r="C84" s="2" t="n">
        <v>51135</v>
      </c>
      <c r="D84" s="2" t="s">
        <v>14</v>
      </c>
      <c r="E84" s="2" t="s">
        <v>321</v>
      </c>
      <c r="F84" s="2" t="s">
        <v>16</v>
      </c>
      <c r="G84" s="2" t="s">
        <v>322</v>
      </c>
      <c r="H84" s="2" t="s">
        <v>331</v>
      </c>
      <c r="I84" s="2" t="s">
        <v>324</v>
      </c>
      <c r="J84" s="3"/>
      <c r="K84" s="3"/>
      <c r="L84" s="2" t="s">
        <v>325</v>
      </c>
      <c r="M84" s="2" t="s">
        <v>332</v>
      </c>
    </row>
    <row r="85" customFormat="false" ht="46.25" hidden="false" customHeight="false" outlineLevel="0" collapsed="false">
      <c r="A85" s="4" t="n">
        <v>84</v>
      </c>
      <c r="B85" s="4" t="s">
        <v>333</v>
      </c>
      <c r="C85" s="4" t="n">
        <v>51077</v>
      </c>
      <c r="D85" s="4" t="s">
        <v>14</v>
      </c>
      <c r="E85" s="4" t="s">
        <v>334</v>
      </c>
      <c r="F85" s="4" t="s">
        <v>220</v>
      </c>
      <c r="G85" s="4" t="s">
        <v>335</v>
      </c>
      <c r="H85" s="4" t="s">
        <v>335</v>
      </c>
      <c r="I85" s="4" t="s">
        <v>336</v>
      </c>
      <c r="J85" s="3"/>
      <c r="K85" s="3"/>
      <c r="L85" s="2" t="s">
        <v>335</v>
      </c>
      <c r="M85" s="2" t="s">
        <v>335</v>
      </c>
    </row>
    <row r="86" customFormat="false" ht="57.45" hidden="false" customHeight="false" outlineLevel="0" collapsed="false">
      <c r="A86" s="2" t="n">
        <v>85</v>
      </c>
      <c r="B86" s="2" t="s">
        <v>337</v>
      </c>
      <c r="C86" s="2" t="n">
        <v>51049</v>
      </c>
      <c r="D86" s="2" t="s">
        <v>14</v>
      </c>
      <c r="E86" s="2" t="s">
        <v>328</v>
      </c>
      <c r="F86" s="2" t="s">
        <v>16</v>
      </c>
      <c r="G86" s="2" t="s">
        <v>329</v>
      </c>
      <c r="H86" s="2" t="s">
        <v>330</v>
      </c>
      <c r="I86" s="2" t="s">
        <v>324</v>
      </c>
      <c r="J86" s="3"/>
      <c r="K86" s="3"/>
      <c r="L86" s="2" t="s">
        <v>329</v>
      </c>
      <c r="M86" s="2" t="s">
        <v>330</v>
      </c>
    </row>
    <row r="87" customFormat="false" ht="57.45" hidden="false" customHeight="false" outlineLevel="0" collapsed="false">
      <c r="A87" s="2" t="n">
        <v>86</v>
      </c>
      <c r="B87" s="2" t="s">
        <v>337</v>
      </c>
      <c r="C87" s="2" t="n">
        <v>51049</v>
      </c>
      <c r="D87" s="2" t="s">
        <v>14</v>
      </c>
      <c r="E87" s="2" t="s">
        <v>321</v>
      </c>
      <c r="F87" s="2" t="s">
        <v>16</v>
      </c>
      <c r="G87" s="2" t="s">
        <v>338</v>
      </c>
      <c r="H87" s="2" t="s">
        <v>339</v>
      </c>
      <c r="I87" s="2" t="s">
        <v>324</v>
      </c>
      <c r="J87" s="3"/>
      <c r="K87" s="3"/>
      <c r="L87" s="2" t="s">
        <v>340</v>
      </c>
      <c r="M87" s="2" t="s">
        <v>341</v>
      </c>
    </row>
    <row r="88" customFormat="false" ht="57.45" hidden="false" customHeight="false" outlineLevel="0" collapsed="false">
      <c r="A88" s="2" t="n">
        <v>87</v>
      </c>
      <c r="B88" s="2" t="s">
        <v>342</v>
      </c>
      <c r="C88" s="2" t="n">
        <v>51039</v>
      </c>
      <c r="D88" s="2" t="s">
        <v>14</v>
      </c>
      <c r="E88" s="2" t="s">
        <v>328</v>
      </c>
      <c r="F88" s="2" t="s">
        <v>16</v>
      </c>
      <c r="G88" s="2" t="s">
        <v>329</v>
      </c>
      <c r="H88" s="2" t="s">
        <v>330</v>
      </c>
      <c r="I88" s="2" t="s">
        <v>324</v>
      </c>
      <c r="J88" s="3"/>
      <c r="K88" s="3"/>
      <c r="L88" s="2" t="s">
        <v>329</v>
      </c>
      <c r="M88" s="2" t="s">
        <v>330</v>
      </c>
    </row>
    <row r="89" customFormat="false" ht="57.45" hidden="false" customHeight="false" outlineLevel="0" collapsed="false">
      <c r="A89" s="2" t="n">
        <v>88</v>
      </c>
      <c r="B89" s="2" t="s">
        <v>342</v>
      </c>
      <c r="C89" s="2" t="n">
        <v>51039</v>
      </c>
      <c r="D89" s="2" t="s">
        <v>14</v>
      </c>
      <c r="E89" s="2" t="s">
        <v>321</v>
      </c>
      <c r="F89" s="2" t="s">
        <v>16</v>
      </c>
      <c r="G89" s="2" t="s">
        <v>338</v>
      </c>
      <c r="H89" s="2" t="s">
        <v>339</v>
      </c>
      <c r="I89" s="2" t="s">
        <v>324</v>
      </c>
      <c r="J89" s="3"/>
      <c r="K89" s="3"/>
      <c r="L89" s="2" t="s">
        <v>340</v>
      </c>
      <c r="M89" s="2" t="s">
        <v>341</v>
      </c>
    </row>
    <row r="90" customFormat="false" ht="57.45" hidden="false" customHeight="false" outlineLevel="0" collapsed="false">
      <c r="A90" s="2" t="n">
        <v>89</v>
      </c>
      <c r="B90" s="2" t="s">
        <v>343</v>
      </c>
      <c r="C90" s="2" t="n">
        <v>51037</v>
      </c>
      <c r="D90" s="2" t="s">
        <v>14</v>
      </c>
      <c r="E90" s="2" t="s">
        <v>328</v>
      </c>
      <c r="F90" s="2" t="s">
        <v>16</v>
      </c>
      <c r="G90" s="2" t="s">
        <v>329</v>
      </c>
      <c r="H90" s="2" t="s">
        <v>330</v>
      </c>
      <c r="I90" s="2" t="s">
        <v>324</v>
      </c>
      <c r="J90" s="3"/>
      <c r="K90" s="3"/>
      <c r="L90" s="2" t="s">
        <v>329</v>
      </c>
      <c r="M90" s="2" t="s">
        <v>330</v>
      </c>
    </row>
    <row r="91" customFormat="false" ht="57.45" hidden="false" customHeight="false" outlineLevel="0" collapsed="false">
      <c r="A91" s="2" t="n">
        <v>90</v>
      </c>
      <c r="B91" s="2" t="s">
        <v>343</v>
      </c>
      <c r="C91" s="2" t="n">
        <v>51037</v>
      </c>
      <c r="D91" s="2" t="s">
        <v>14</v>
      </c>
      <c r="E91" s="2" t="s">
        <v>321</v>
      </c>
      <c r="F91" s="2" t="s">
        <v>16</v>
      </c>
      <c r="G91" s="2" t="s">
        <v>344</v>
      </c>
      <c r="H91" s="2" t="s">
        <v>345</v>
      </c>
      <c r="I91" s="2" t="s">
        <v>324</v>
      </c>
      <c r="J91" s="3"/>
      <c r="K91" s="3"/>
      <c r="L91" s="2" t="s">
        <v>346</v>
      </c>
      <c r="M91" s="2" t="s">
        <v>347</v>
      </c>
    </row>
    <row r="92" customFormat="false" ht="57.45" hidden="false" customHeight="false" outlineLevel="0" collapsed="false">
      <c r="A92" s="2" t="n">
        <v>91</v>
      </c>
      <c r="B92" s="2" t="s">
        <v>348</v>
      </c>
      <c r="C92" s="2" t="n">
        <v>51035</v>
      </c>
      <c r="D92" s="2" t="s">
        <v>14</v>
      </c>
      <c r="E92" s="2" t="s">
        <v>328</v>
      </c>
      <c r="F92" s="2" t="s">
        <v>16</v>
      </c>
      <c r="G92" s="2" t="s">
        <v>329</v>
      </c>
      <c r="H92" s="2" t="s">
        <v>330</v>
      </c>
      <c r="I92" s="2" t="s">
        <v>324</v>
      </c>
      <c r="J92" s="3"/>
      <c r="K92" s="3"/>
      <c r="L92" s="2" t="s">
        <v>329</v>
      </c>
      <c r="M92" s="2" t="s">
        <v>330</v>
      </c>
    </row>
    <row r="93" customFormat="false" ht="57.45" hidden="false" customHeight="false" outlineLevel="0" collapsed="false">
      <c r="A93" s="2" t="n">
        <v>92</v>
      </c>
      <c r="B93" s="2" t="s">
        <v>348</v>
      </c>
      <c r="C93" s="2" t="n">
        <v>51035</v>
      </c>
      <c r="D93" s="2" t="s">
        <v>14</v>
      </c>
      <c r="E93" s="2" t="s">
        <v>321</v>
      </c>
      <c r="F93" s="2" t="s">
        <v>16</v>
      </c>
      <c r="G93" s="2" t="s">
        <v>344</v>
      </c>
      <c r="H93" s="2" t="s">
        <v>345</v>
      </c>
      <c r="I93" s="2" t="s">
        <v>324</v>
      </c>
      <c r="J93" s="3"/>
      <c r="K93" s="3"/>
      <c r="L93" s="2" t="s">
        <v>346</v>
      </c>
      <c r="M93" s="2" t="s">
        <v>347</v>
      </c>
    </row>
    <row r="94" customFormat="false" ht="57.45" hidden="false" customHeight="false" outlineLevel="0" collapsed="false">
      <c r="A94" s="2" t="n">
        <v>93</v>
      </c>
      <c r="B94" s="2" t="s">
        <v>349</v>
      </c>
      <c r="C94" s="2" t="n">
        <v>51031</v>
      </c>
      <c r="D94" s="2" t="s">
        <v>14</v>
      </c>
      <c r="E94" s="2" t="s">
        <v>321</v>
      </c>
      <c r="F94" s="2" t="s">
        <v>16</v>
      </c>
      <c r="G94" s="2" t="s">
        <v>322</v>
      </c>
      <c r="H94" s="2" t="s">
        <v>323</v>
      </c>
      <c r="I94" s="2" t="s">
        <v>324</v>
      </c>
      <c r="J94" s="3"/>
      <c r="K94" s="3"/>
      <c r="L94" s="2" t="s">
        <v>325</v>
      </c>
      <c r="M94" s="2" t="s">
        <v>326</v>
      </c>
    </row>
    <row r="95" customFormat="false" ht="102.2" hidden="false" customHeight="false" outlineLevel="0" collapsed="false">
      <c r="A95" s="2" t="n">
        <v>94</v>
      </c>
      <c r="B95" s="2" t="s">
        <v>350</v>
      </c>
      <c r="C95" s="2" t="n">
        <v>51029</v>
      </c>
      <c r="D95" s="2" t="s">
        <v>14</v>
      </c>
      <c r="E95" s="2" t="s">
        <v>351</v>
      </c>
      <c r="F95" s="2" t="s">
        <v>16</v>
      </c>
      <c r="G95" s="2" t="s">
        <v>352</v>
      </c>
      <c r="H95" s="2" t="s">
        <v>353</v>
      </c>
      <c r="I95" s="2" t="s">
        <v>354</v>
      </c>
      <c r="J95" s="3"/>
      <c r="K95" s="3"/>
      <c r="L95" s="2" t="s">
        <v>352</v>
      </c>
      <c r="M95" s="2" t="s">
        <v>353</v>
      </c>
    </row>
    <row r="96" customFormat="false" ht="57.45" hidden="false" customHeight="false" outlineLevel="0" collapsed="false">
      <c r="A96" s="2" t="n">
        <v>95</v>
      </c>
      <c r="B96" s="2" t="s">
        <v>350</v>
      </c>
      <c r="C96" s="2" t="n">
        <v>51029</v>
      </c>
      <c r="D96" s="2" t="s">
        <v>14</v>
      </c>
      <c r="E96" s="2" t="s">
        <v>355</v>
      </c>
      <c r="F96" s="2" t="s">
        <v>16</v>
      </c>
      <c r="G96" s="2" t="s">
        <v>356</v>
      </c>
      <c r="H96" s="2" t="s">
        <v>357</v>
      </c>
      <c r="I96" s="2" t="s">
        <v>354</v>
      </c>
      <c r="J96" s="3"/>
      <c r="K96" s="3"/>
      <c r="L96" s="2" t="s">
        <v>356</v>
      </c>
      <c r="M96" s="2" t="s">
        <v>357</v>
      </c>
    </row>
    <row r="97" customFormat="false" ht="68.65" hidden="false" customHeight="false" outlineLevel="0" collapsed="false">
      <c r="A97" s="4" t="n">
        <v>96</v>
      </c>
      <c r="B97" s="4" t="s">
        <v>358</v>
      </c>
      <c r="C97" s="4" t="n">
        <v>51027</v>
      </c>
      <c r="D97" s="4" t="s">
        <v>14</v>
      </c>
      <c r="E97" s="4" t="s">
        <v>359</v>
      </c>
      <c r="F97" s="4" t="s">
        <v>220</v>
      </c>
      <c r="G97" s="4" t="s">
        <v>360</v>
      </c>
      <c r="H97" s="4" t="s">
        <v>360</v>
      </c>
      <c r="I97" s="4" t="s">
        <v>361</v>
      </c>
      <c r="J97" s="3"/>
      <c r="K97" s="3"/>
      <c r="L97" s="2" t="s">
        <v>360</v>
      </c>
      <c r="M97" s="2" t="s">
        <v>360</v>
      </c>
    </row>
    <row r="98" customFormat="false" ht="35.05" hidden="false" customHeight="false" outlineLevel="0" collapsed="false">
      <c r="A98" s="4" t="n">
        <v>97</v>
      </c>
      <c r="B98" s="4" t="s">
        <v>358</v>
      </c>
      <c r="C98" s="4" t="n">
        <v>51027</v>
      </c>
      <c r="D98" s="4" t="s">
        <v>14</v>
      </c>
      <c r="E98" s="4" t="s">
        <v>362</v>
      </c>
      <c r="F98" s="4" t="s">
        <v>220</v>
      </c>
      <c r="G98" s="4" t="s">
        <v>363</v>
      </c>
      <c r="H98" s="4" t="s">
        <v>363</v>
      </c>
      <c r="I98" s="4" t="s">
        <v>361</v>
      </c>
      <c r="J98" s="3"/>
      <c r="K98" s="3"/>
      <c r="L98" s="2" t="s">
        <v>363</v>
      </c>
      <c r="M98" s="2" t="s">
        <v>363</v>
      </c>
    </row>
    <row r="99" customFormat="false" ht="91" hidden="false" customHeight="false" outlineLevel="0" collapsed="false">
      <c r="A99" s="2" t="n">
        <v>98</v>
      </c>
      <c r="B99" s="2" t="s">
        <v>358</v>
      </c>
      <c r="C99" s="2" t="n">
        <v>51027</v>
      </c>
      <c r="D99" s="2" t="s">
        <v>14</v>
      </c>
      <c r="E99" s="2" t="s">
        <v>351</v>
      </c>
      <c r="F99" s="2" t="s">
        <v>16</v>
      </c>
      <c r="G99" s="2" t="s">
        <v>364</v>
      </c>
      <c r="H99" s="2" t="s">
        <v>365</v>
      </c>
      <c r="I99" s="2" t="s">
        <v>354</v>
      </c>
      <c r="J99" s="3"/>
      <c r="K99" s="3"/>
      <c r="L99" s="2" t="s">
        <v>364</v>
      </c>
      <c r="M99" s="2" t="s">
        <v>365</v>
      </c>
    </row>
    <row r="100" customFormat="false" ht="57.45" hidden="false" customHeight="false" outlineLevel="0" collapsed="false">
      <c r="A100" s="2" t="n">
        <v>99</v>
      </c>
      <c r="B100" s="2" t="s">
        <v>358</v>
      </c>
      <c r="C100" s="2" t="n">
        <v>51027</v>
      </c>
      <c r="D100" s="2" t="s">
        <v>14</v>
      </c>
      <c r="E100" s="2" t="s">
        <v>355</v>
      </c>
      <c r="F100" s="2" t="s">
        <v>16</v>
      </c>
      <c r="G100" s="2" t="s">
        <v>344</v>
      </c>
      <c r="H100" s="2" t="s">
        <v>345</v>
      </c>
      <c r="I100" s="2" t="s">
        <v>354</v>
      </c>
      <c r="J100" s="3"/>
      <c r="K100" s="3"/>
      <c r="L100" s="2" t="s">
        <v>344</v>
      </c>
      <c r="M100" s="2" t="s">
        <v>345</v>
      </c>
    </row>
    <row r="101" customFormat="false" ht="91" hidden="false" customHeight="false" outlineLevel="0" collapsed="false">
      <c r="A101" s="2" t="n">
        <v>100</v>
      </c>
      <c r="B101" s="2" t="s">
        <v>366</v>
      </c>
      <c r="C101" s="2" t="n">
        <v>50608</v>
      </c>
      <c r="D101" s="2" t="s">
        <v>14</v>
      </c>
      <c r="E101" s="2" t="s">
        <v>351</v>
      </c>
      <c r="F101" s="2" t="s">
        <v>16</v>
      </c>
      <c r="G101" s="2" t="s">
        <v>367</v>
      </c>
      <c r="H101" s="2" t="s">
        <v>368</v>
      </c>
      <c r="I101" s="2" t="s">
        <v>354</v>
      </c>
      <c r="J101" s="3"/>
      <c r="K101" s="3"/>
      <c r="L101" s="2" t="s">
        <v>367</v>
      </c>
      <c r="M101" s="2" t="s">
        <v>368</v>
      </c>
    </row>
    <row r="102" customFormat="false" ht="57.45" hidden="false" customHeight="false" outlineLevel="0" collapsed="false">
      <c r="A102" s="2" t="n">
        <v>101</v>
      </c>
      <c r="B102" s="2" t="s">
        <v>366</v>
      </c>
      <c r="C102" s="2" t="n">
        <v>50608</v>
      </c>
      <c r="D102" s="2" t="s">
        <v>14</v>
      </c>
      <c r="E102" s="2" t="s">
        <v>355</v>
      </c>
      <c r="F102" s="2" t="s">
        <v>16</v>
      </c>
      <c r="G102" s="2" t="s">
        <v>344</v>
      </c>
      <c r="H102" s="2" t="s">
        <v>345</v>
      </c>
      <c r="I102" s="2" t="s">
        <v>354</v>
      </c>
      <c r="J102" s="3"/>
      <c r="K102" s="3"/>
      <c r="L102" s="2" t="s">
        <v>344</v>
      </c>
      <c r="M102" s="2" t="s">
        <v>345</v>
      </c>
    </row>
    <row r="103" customFormat="false" ht="68.65" hidden="false" customHeight="false" outlineLevel="0" collapsed="false">
      <c r="A103" s="4" t="n">
        <v>102</v>
      </c>
      <c r="B103" s="4" t="s">
        <v>369</v>
      </c>
      <c r="C103" s="4" t="n">
        <v>50577</v>
      </c>
      <c r="D103" s="4" t="s">
        <v>14</v>
      </c>
      <c r="E103" s="4" t="s">
        <v>359</v>
      </c>
      <c r="F103" s="4" t="s">
        <v>220</v>
      </c>
      <c r="G103" s="4" t="s">
        <v>370</v>
      </c>
      <c r="H103" s="4" t="s">
        <v>370</v>
      </c>
      <c r="I103" s="4" t="s">
        <v>361</v>
      </c>
      <c r="J103" s="3"/>
      <c r="K103" s="3"/>
      <c r="L103" s="2" t="s">
        <v>370</v>
      </c>
      <c r="M103" s="2" t="s">
        <v>370</v>
      </c>
    </row>
    <row r="104" customFormat="false" ht="79.85" hidden="false" customHeight="false" outlineLevel="0" collapsed="false">
      <c r="A104" s="2" t="n">
        <v>103</v>
      </c>
      <c r="B104" s="2" t="s">
        <v>369</v>
      </c>
      <c r="C104" s="2" t="n">
        <v>50577</v>
      </c>
      <c r="D104" s="2" t="s">
        <v>14</v>
      </c>
      <c r="E104" s="2" t="s">
        <v>351</v>
      </c>
      <c r="F104" s="2" t="s">
        <v>16</v>
      </c>
      <c r="G104" s="2" t="s">
        <v>371</v>
      </c>
      <c r="H104" s="2" t="s">
        <v>372</v>
      </c>
      <c r="I104" s="2" t="s">
        <v>354</v>
      </c>
      <c r="J104" s="3"/>
      <c r="K104" s="3"/>
      <c r="L104" s="2" t="s">
        <v>371</v>
      </c>
      <c r="M104" s="2" t="s">
        <v>372</v>
      </c>
    </row>
    <row r="105" customFormat="false" ht="57.45" hidden="false" customHeight="false" outlineLevel="0" collapsed="false">
      <c r="A105" s="2" t="n">
        <v>104</v>
      </c>
      <c r="B105" s="2" t="s">
        <v>369</v>
      </c>
      <c r="C105" s="2" t="n">
        <v>50577</v>
      </c>
      <c r="D105" s="2" t="s">
        <v>14</v>
      </c>
      <c r="E105" s="2" t="s">
        <v>355</v>
      </c>
      <c r="F105" s="2" t="s">
        <v>16</v>
      </c>
      <c r="G105" s="2" t="s">
        <v>373</v>
      </c>
      <c r="H105" s="2" t="s">
        <v>374</v>
      </c>
      <c r="I105" s="2" t="s">
        <v>354</v>
      </c>
      <c r="J105" s="3"/>
      <c r="K105" s="3"/>
      <c r="L105" s="2" t="s">
        <v>373</v>
      </c>
      <c r="M105" s="2" t="s">
        <v>374</v>
      </c>
    </row>
    <row r="106" customFormat="false" ht="57.45" hidden="false" customHeight="false" outlineLevel="0" collapsed="false">
      <c r="A106" s="4" t="n">
        <v>105</v>
      </c>
      <c r="B106" s="4" t="s">
        <v>375</v>
      </c>
      <c r="C106" s="4" t="n">
        <v>50477</v>
      </c>
      <c r="D106" s="4" t="s">
        <v>14</v>
      </c>
      <c r="E106" s="4" t="s">
        <v>376</v>
      </c>
      <c r="F106" s="4" t="s">
        <v>220</v>
      </c>
      <c r="G106" s="4" t="s">
        <v>377</v>
      </c>
      <c r="H106" s="4" t="s">
        <v>377</v>
      </c>
      <c r="I106" s="4" t="s">
        <v>378</v>
      </c>
      <c r="J106" s="3"/>
      <c r="K106" s="3"/>
      <c r="L106" s="2" t="s">
        <v>377</v>
      </c>
      <c r="M106" s="2" t="s">
        <v>377</v>
      </c>
    </row>
    <row r="107" customFormat="false" ht="68.65" hidden="false" customHeight="false" outlineLevel="0" collapsed="false">
      <c r="A107" s="2" t="n">
        <v>106</v>
      </c>
      <c r="B107" s="2" t="s">
        <v>375</v>
      </c>
      <c r="C107" s="2" t="n">
        <v>50477</v>
      </c>
      <c r="D107" s="2" t="s">
        <v>14</v>
      </c>
      <c r="E107" s="2" t="s">
        <v>379</v>
      </c>
      <c r="F107" s="2" t="s">
        <v>380</v>
      </c>
      <c r="G107" s="2" t="s">
        <v>381</v>
      </c>
      <c r="H107" s="2" t="s">
        <v>382</v>
      </c>
      <c r="I107" s="2" t="s">
        <v>383</v>
      </c>
      <c r="J107" s="3"/>
      <c r="K107" s="3"/>
      <c r="L107" s="2" t="s">
        <v>381</v>
      </c>
      <c r="M107" s="2" t="s">
        <v>382</v>
      </c>
    </row>
    <row r="108" customFormat="false" ht="57.45" hidden="false" customHeight="false" outlineLevel="0" collapsed="false">
      <c r="A108" s="4" t="n">
        <v>107</v>
      </c>
      <c r="B108" s="4" t="s">
        <v>375</v>
      </c>
      <c r="C108" s="4" t="n">
        <v>50477</v>
      </c>
      <c r="D108" s="4" t="s">
        <v>14</v>
      </c>
      <c r="E108" s="4" t="s">
        <v>384</v>
      </c>
      <c r="F108" s="4" t="s">
        <v>220</v>
      </c>
      <c r="G108" s="4" t="s">
        <v>385</v>
      </c>
      <c r="H108" s="4" t="s">
        <v>385</v>
      </c>
      <c r="I108" s="4" t="s">
        <v>386</v>
      </c>
      <c r="J108" s="3"/>
      <c r="K108" s="3"/>
      <c r="L108" s="2" t="s">
        <v>385</v>
      </c>
      <c r="M108" s="2" t="s">
        <v>385</v>
      </c>
    </row>
    <row r="109" customFormat="false" ht="68.65" hidden="false" customHeight="false" outlineLevel="0" collapsed="false">
      <c r="A109" s="4" t="n">
        <v>108</v>
      </c>
      <c r="B109" s="4" t="s">
        <v>375</v>
      </c>
      <c r="C109" s="4" t="n">
        <v>50477</v>
      </c>
      <c r="D109" s="4" t="s">
        <v>14</v>
      </c>
      <c r="E109" s="4" t="s">
        <v>15</v>
      </c>
      <c r="F109" s="4" t="s">
        <v>220</v>
      </c>
      <c r="G109" s="4" t="s">
        <v>387</v>
      </c>
      <c r="H109" s="4" t="s">
        <v>387</v>
      </c>
      <c r="I109" s="4" t="s">
        <v>386</v>
      </c>
      <c r="J109" s="3"/>
      <c r="K109" s="3"/>
      <c r="L109" s="2" t="s">
        <v>388</v>
      </c>
      <c r="M109" s="2" t="s">
        <v>388</v>
      </c>
    </row>
    <row r="110" customFormat="false" ht="79.85" hidden="false" customHeight="false" outlineLevel="0" collapsed="false">
      <c r="A110" s="4" t="n">
        <v>109</v>
      </c>
      <c r="B110" s="4" t="s">
        <v>375</v>
      </c>
      <c r="C110" s="4" t="n">
        <v>50477</v>
      </c>
      <c r="D110" s="4" t="s">
        <v>14</v>
      </c>
      <c r="E110" s="4" t="s">
        <v>389</v>
      </c>
      <c r="F110" s="4" t="s">
        <v>220</v>
      </c>
      <c r="G110" s="4" t="s">
        <v>390</v>
      </c>
      <c r="H110" s="4" t="s">
        <v>390</v>
      </c>
      <c r="I110" s="4" t="s">
        <v>386</v>
      </c>
      <c r="J110" s="3"/>
      <c r="K110" s="3"/>
      <c r="L110" s="2" t="s">
        <v>390</v>
      </c>
      <c r="M110" s="2" t="s">
        <v>390</v>
      </c>
    </row>
    <row r="111" customFormat="false" ht="68.65" hidden="false" customHeight="false" outlineLevel="0" collapsed="false">
      <c r="A111" s="4" t="n">
        <v>110</v>
      </c>
      <c r="B111" s="4" t="s">
        <v>375</v>
      </c>
      <c r="C111" s="4" t="n">
        <v>50477</v>
      </c>
      <c r="D111" s="4" t="s">
        <v>22</v>
      </c>
      <c r="E111" s="4" t="s">
        <v>15</v>
      </c>
      <c r="F111" s="4" t="s">
        <v>220</v>
      </c>
      <c r="G111" s="4" t="s">
        <v>387</v>
      </c>
      <c r="H111" s="4" t="s">
        <v>387</v>
      </c>
      <c r="I111" s="4" t="s">
        <v>386</v>
      </c>
      <c r="J111" s="3"/>
      <c r="K111" s="3"/>
      <c r="L111" s="2" t="s">
        <v>391</v>
      </c>
      <c r="M111" s="2" t="s">
        <v>391</v>
      </c>
    </row>
    <row r="112" customFormat="false" ht="102.2" hidden="false" customHeight="false" outlineLevel="0" collapsed="false">
      <c r="A112" s="2" t="n">
        <v>111</v>
      </c>
      <c r="B112" s="2" t="s">
        <v>392</v>
      </c>
      <c r="C112" s="2" t="n">
        <v>50443</v>
      </c>
      <c r="D112" s="2" t="s">
        <v>14</v>
      </c>
      <c r="E112" s="2" t="s">
        <v>351</v>
      </c>
      <c r="F112" s="2" t="s">
        <v>16</v>
      </c>
      <c r="G112" s="2" t="s">
        <v>393</v>
      </c>
      <c r="H112" s="2" t="s">
        <v>394</v>
      </c>
      <c r="I112" s="2" t="s">
        <v>354</v>
      </c>
      <c r="J112" s="3"/>
      <c r="K112" s="3"/>
      <c r="L112" s="2" t="s">
        <v>393</v>
      </c>
      <c r="M112" s="2" t="s">
        <v>394</v>
      </c>
    </row>
    <row r="113" customFormat="false" ht="57.45" hidden="false" customHeight="false" outlineLevel="0" collapsed="false">
      <c r="A113" s="2" t="n">
        <v>112</v>
      </c>
      <c r="B113" s="2" t="s">
        <v>392</v>
      </c>
      <c r="C113" s="2" t="n">
        <v>50443</v>
      </c>
      <c r="D113" s="2" t="s">
        <v>14</v>
      </c>
      <c r="E113" s="2" t="s">
        <v>355</v>
      </c>
      <c r="F113" s="2" t="s">
        <v>16</v>
      </c>
      <c r="G113" s="2" t="s">
        <v>344</v>
      </c>
      <c r="H113" s="2" t="s">
        <v>345</v>
      </c>
      <c r="I113" s="2" t="s">
        <v>354</v>
      </c>
      <c r="J113" s="3"/>
      <c r="K113" s="3"/>
      <c r="L113" s="2" t="s">
        <v>344</v>
      </c>
      <c r="M113" s="2" t="s">
        <v>345</v>
      </c>
    </row>
    <row r="114" customFormat="false" ht="57.45" hidden="false" customHeight="false" outlineLevel="0" collapsed="false">
      <c r="A114" s="4" t="n">
        <v>113</v>
      </c>
      <c r="B114" s="4" t="s">
        <v>395</v>
      </c>
      <c r="C114" s="4" t="n">
        <v>50441</v>
      </c>
      <c r="D114" s="4" t="s">
        <v>14</v>
      </c>
      <c r="E114" s="4" t="s">
        <v>359</v>
      </c>
      <c r="F114" s="4" t="s">
        <v>220</v>
      </c>
      <c r="G114" s="4" t="s">
        <v>396</v>
      </c>
      <c r="H114" s="4" t="s">
        <v>396</v>
      </c>
      <c r="I114" s="4" t="s">
        <v>361</v>
      </c>
      <c r="J114" s="3"/>
      <c r="K114" s="3"/>
      <c r="L114" s="2" t="s">
        <v>396</v>
      </c>
      <c r="M114" s="2" t="s">
        <v>396</v>
      </c>
    </row>
    <row r="115" customFormat="false" ht="91" hidden="false" customHeight="false" outlineLevel="0" collapsed="false">
      <c r="A115" s="2" t="n">
        <v>114</v>
      </c>
      <c r="B115" s="2" t="s">
        <v>395</v>
      </c>
      <c r="C115" s="2" t="n">
        <v>50441</v>
      </c>
      <c r="D115" s="2" t="s">
        <v>14</v>
      </c>
      <c r="E115" s="2" t="s">
        <v>351</v>
      </c>
      <c r="F115" s="2" t="s">
        <v>16</v>
      </c>
      <c r="G115" s="2" t="s">
        <v>397</v>
      </c>
      <c r="H115" s="2" t="s">
        <v>398</v>
      </c>
      <c r="I115" s="2" t="s">
        <v>354</v>
      </c>
      <c r="J115" s="3"/>
      <c r="K115" s="3"/>
      <c r="L115" s="2" t="s">
        <v>397</v>
      </c>
      <c r="M115" s="2" t="s">
        <v>398</v>
      </c>
    </row>
    <row r="116" customFormat="false" ht="57.45" hidden="false" customHeight="false" outlineLevel="0" collapsed="false">
      <c r="A116" s="2" t="n">
        <v>115</v>
      </c>
      <c r="B116" s="2" t="s">
        <v>395</v>
      </c>
      <c r="C116" s="2" t="n">
        <v>50441</v>
      </c>
      <c r="D116" s="2" t="s">
        <v>14</v>
      </c>
      <c r="E116" s="2" t="s">
        <v>355</v>
      </c>
      <c r="F116" s="2" t="s">
        <v>16</v>
      </c>
      <c r="G116" s="2" t="s">
        <v>344</v>
      </c>
      <c r="H116" s="2" t="s">
        <v>345</v>
      </c>
      <c r="I116" s="2" t="s">
        <v>354</v>
      </c>
      <c r="J116" s="3"/>
      <c r="K116" s="3"/>
      <c r="L116" s="2" t="s">
        <v>344</v>
      </c>
      <c r="M116" s="2" t="s">
        <v>345</v>
      </c>
    </row>
    <row r="117" customFormat="false" ht="102.2" hidden="false" customHeight="false" outlineLevel="0" collapsed="false">
      <c r="A117" s="2" t="n">
        <v>116</v>
      </c>
      <c r="B117" s="2" t="s">
        <v>399</v>
      </c>
      <c r="C117" s="2" t="n">
        <v>50438</v>
      </c>
      <c r="D117" s="2" t="s">
        <v>14</v>
      </c>
      <c r="E117" s="2" t="s">
        <v>351</v>
      </c>
      <c r="F117" s="2" t="s">
        <v>16</v>
      </c>
      <c r="G117" s="2" t="s">
        <v>400</v>
      </c>
      <c r="H117" s="2" t="s">
        <v>401</v>
      </c>
      <c r="I117" s="2" t="s">
        <v>354</v>
      </c>
      <c r="J117" s="3"/>
      <c r="K117" s="3"/>
      <c r="L117" s="2" t="s">
        <v>400</v>
      </c>
      <c r="M117" s="2" t="s">
        <v>401</v>
      </c>
    </row>
    <row r="118" customFormat="false" ht="57.45" hidden="false" customHeight="false" outlineLevel="0" collapsed="false">
      <c r="A118" s="2" t="n">
        <v>117</v>
      </c>
      <c r="B118" s="2" t="s">
        <v>399</v>
      </c>
      <c r="C118" s="2" t="n">
        <v>50438</v>
      </c>
      <c r="D118" s="2" t="s">
        <v>14</v>
      </c>
      <c r="E118" s="2" t="s">
        <v>355</v>
      </c>
      <c r="F118" s="2" t="s">
        <v>16</v>
      </c>
      <c r="G118" s="2" t="s">
        <v>373</v>
      </c>
      <c r="H118" s="2" t="s">
        <v>374</v>
      </c>
      <c r="I118" s="2" t="s">
        <v>354</v>
      </c>
      <c r="J118" s="3"/>
      <c r="K118" s="3"/>
      <c r="L118" s="2" t="s">
        <v>373</v>
      </c>
      <c r="M118" s="2" t="s">
        <v>374</v>
      </c>
    </row>
    <row r="119" customFormat="false" ht="68.65" hidden="false" customHeight="false" outlineLevel="0" collapsed="false">
      <c r="A119" s="4" t="n">
        <v>118</v>
      </c>
      <c r="B119" s="4" t="s">
        <v>402</v>
      </c>
      <c r="C119" s="4" t="n">
        <v>50437</v>
      </c>
      <c r="D119" s="4" t="s">
        <v>14</v>
      </c>
      <c r="E119" s="4" t="s">
        <v>359</v>
      </c>
      <c r="F119" s="4" t="s">
        <v>220</v>
      </c>
      <c r="G119" s="4" t="s">
        <v>403</v>
      </c>
      <c r="H119" s="4" t="s">
        <v>403</v>
      </c>
      <c r="I119" s="4" t="s">
        <v>361</v>
      </c>
      <c r="J119" s="3"/>
      <c r="K119" s="3"/>
      <c r="L119" s="2" t="s">
        <v>403</v>
      </c>
      <c r="M119" s="2" t="s">
        <v>403</v>
      </c>
    </row>
    <row r="120" customFormat="false" ht="102.2" hidden="false" customHeight="false" outlineLevel="0" collapsed="false">
      <c r="A120" s="2" t="n">
        <v>119</v>
      </c>
      <c r="B120" s="2" t="s">
        <v>402</v>
      </c>
      <c r="C120" s="2" t="n">
        <v>50437</v>
      </c>
      <c r="D120" s="2" t="s">
        <v>14</v>
      </c>
      <c r="E120" s="2" t="s">
        <v>351</v>
      </c>
      <c r="F120" s="2" t="s">
        <v>16</v>
      </c>
      <c r="G120" s="2" t="s">
        <v>404</v>
      </c>
      <c r="H120" s="2" t="s">
        <v>405</v>
      </c>
      <c r="I120" s="2" t="s">
        <v>354</v>
      </c>
      <c r="J120" s="3"/>
      <c r="K120" s="3"/>
      <c r="L120" s="2" t="s">
        <v>404</v>
      </c>
      <c r="M120" s="2" t="s">
        <v>405</v>
      </c>
    </row>
    <row r="121" customFormat="false" ht="57.45" hidden="false" customHeight="false" outlineLevel="0" collapsed="false">
      <c r="A121" s="2" t="n">
        <v>120</v>
      </c>
      <c r="B121" s="2" t="s">
        <v>402</v>
      </c>
      <c r="C121" s="2" t="n">
        <v>50437</v>
      </c>
      <c r="D121" s="2" t="s">
        <v>14</v>
      </c>
      <c r="E121" s="2" t="s">
        <v>355</v>
      </c>
      <c r="F121" s="2" t="s">
        <v>16</v>
      </c>
      <c r="G121" s="2" t="s">
        <v>373</v>
      </c>
      <c r="H121" s="2" t="s">
        <v>374</v>
      </c>
      <c r="I121" s="2" t="s">
        <v>354</v>
      </c>
      <c r="J121" s="3"/>
      <c r="K121" s="3"/>
      <c r="L121" s="2" t="s">
        <v>373</v>
      </c>
      <c r="M121" s="2" t="s">
        <v>374</v>
      </c>
    </row>
    <row r="122" customFormat="false" ht="91" hidden="false" customHeight="false" outlineLevel="0" collapsed="false">
      <c r="A122" s="2" t="n">
        <v>121</v>
      </c>
      <c r="B122" s="2" t="s">
        <v>406</v>
      </c>
      <c r="C122" s="2" t="n">
        <v>50436</v>
      </c>
      <c r="D122" s="2" t="s">
        <v>14</v>
      </c>
      <c r="E122" s="2" t="s">
        <v>351</v>
      </c>
      <c r="F122" s="2" t="s">
        <v>16</v>
      </c>
      <c r="G122" s="2" t="s">
        <v>407</v>
      </c>
      <c r="H122" s="2" t="s">
        <v>408</v>
      </c>
      <c r="I122" s="2" t="s">
        <v>354</v>
      </c>
      <c r="J122" s="3"/>
      <c r="K122" s="3"/>
      <c r="L122" s="2" t="s">
        <v>407</v>
      </c>
      <c r="M122" s="2" t="s">
        <v>408</v>
      </c>
    </row>
    <row r="123" customFormat="false" ht="57.45" hidden="false" customHeight="false" outlineLevel="0" collapsed="false">
      <c r="A123" s="2" t="n">
        <v>122</v>
      </c>
      <c r="B123" s="2" t="s">
        <v>406</v>
      </c>
      <c r="C123" s="2" t="n">
        <v>50436</v>
      </c>
      <c r="D123" s="2" t="s">
        <v>14</v>
      </c>
      <c r="E123" s="2" t="s">
        <v>355</v>
      </c>
      <c r="F123" s="2" t="s">
        <v>16</v>
      </c>
      <c r="G123" s="2" t="s">
        <v>373</v>
      </c>
      <c r="H123" s="2" t="s">
        <v>374</v>
      </c>
      <c r="I123" s="2" t="s">
        <v>354</v>
      </c>
      <c r="J123" s="3"/>
      <c r="K123" s="3"/>
      <c r="L123" s="2" t="s">
        <v>373</v>
      </c>
      <c r="M123" s="2" t="s">
        <v>374</v>
      </c>
    </row>
  </sheetData>
  <autoFilter ref="A1:K123"/>
  <dataValidations count="1">
    <dataValidation allowBlank="true" errorStyle="stop" operator="between" showDropDown="false" showErrorMessage="false" showInputMessage="false" sqref="J2:J123" type="list">
      <formula1>"Approve,Change,Reject"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55"/>
    <col collapsed="false" customWidth="true" hidden="false" outlineLevel="0" max="3" min="3" style="0" width="9"/>
    <col collapsed="false" customWidth="true" hidden="false" outlineLevel="0" max="4" min="4" style="0" width="45"/>
    <col collapsed="false" customWidth="true" hidden="false" outlineLevel="0" max="6" min="5" style="0" width="12"/>
    <col collapsed="false" customWidth="true" hidden="false" outlineLevel="0" max="7" min="7" style="0" width="40"/>
  </cols>
  <sheetData>
    <row r="1" customFormat="false" ht="23.85" hidden="false" customHeight="false" outlineLevel="0" collapsed="false">
      <c r="A1" s="1" t="s">
        <v>0</v>
      </c>
      <c r="B1" s="1" t="s">
        <v>1</v>
      </c>
      <c r="C1" s="1" t="s">
        <v>2</v>
      </c>
      <c r="D1" s="1" t="s">
        <v>409</v>
      </c>
      <c r="E1" s="1" t="s">
        <v>410</v>
      </c>
      <c r="F1" s="1" t="s">
        <v>411</v>
      </c>
      <c r="G1" s="1" t="s">
        <v>8</v>
      </c>
    </row>
    <row r="2" customFormat="false" ht="23.85" hidden="false" customHeight="false" outlineLevel="0" collapsed="false">
      <c r="A2" s="2" t="n">
        <v>1</v>
      </c>
      <c r="B2" s="2" t="s">
        <v>13</v>
      </c>
      <c r="C2" s="2" t="n">
        <v>57741</v>
      </c>
      <c r="D2" s="2" t="s">
        <v>412</v>
      </c>
      <c r="E2" s="2" t="n">
        <f aca="false">COUNTIF('Before-After'!$C:$C,C2)</f>
        <v>2</v>
      </c>
      <c r="F2" s="2" t="n">
        <f aca="false">COUNTIFS('Before-After'!$C:$C,C2,'Before-After'!$F:$F,"&lt;&gt;R3")</f>
        <v>2</v>
      </c>
      <c r="G2" s="2"/>
    </row>
    <row r="3" customFormat="false" ht="15" hidden="false" customHeight="false" outlineLevel="0" collapsed="false">
      <c r="A3" s="2" t="n">
        <v>2</v>
      </c>
      <c r="B3" s="2" t="s">
        <v>26</v>
      </c>
      <c r="C3" s="2" t="n">
        <v>57484</v>
      </c>
      <c r="D3" s="2" t="s">
        <v>413</v>
      </c>
      <c r="E3" s="2" t="n">
        <f aca="false">COUNTIF('Before-After'!$C:$C,C3)</f>
        <v>4</v>
      </c>
      <c r="F3" s="2" t="n">
        <f aca="false">COUNTIFS('Before-After'!$C:$C,C3,'Before-After'!$F:$F,"&lt;&gt;R3")</f>
        <v>4</v>
      </c>
      <c r="G3" s="2"/>
    </row>
    <row r="4" customFormat="false" ht="15" hidden="false" customHeight="false" outlineLevel="0" collapsed="false">
      <c r="A4" s="2" t="n">
        <v>3</v>
      </c>
      <c r="B4" s="2" t="s">
        <v>44</v>
      </c>
      <c r="C4" s="2" t="n">
        <v>57475</v>
      </c>
      <c r="D4" s="2" t="s">
        <v>414</v>
      </c>
      <c r="E4" s="2" t="n">
        <f aca="false">COUNTIF('Before-After'!$C:$C,C4)</f>
        <v>4</v>
      </c>
      <c r="F4" s="2" t="n">
        <f aca="false">COUNTIFS('Before-After'!$C:$C,C4,'Before-After'!$F:$F,"&lt;&gt;R3")</f>
        <v>4</v>
      </c>
      <c r="G4" s="2"/>
    </row>
    <row r="5" customFormat="false" ht="23.85" hidden="false" customHeight="false" outlineLevel="0" collapsed="false">
      <c r="A5" s="2" t="n">
        <v>4</v>
      </c>
      <c r="B5" s="2" t="s">
        <v>58</v>
      </c>
      <c r="C5" s="2" t="n">
        <v>57418</v>
      </c>
      <c r="D5" s="2" t="s">
        <v>415</v>
      </c>
      <c r="E5" s="2" t="n">
        <f aca="false">COUNTIF('Before-After'!$C:$C,C5)</f>
        <v>4</v>
      </c>
      <c r="F5" s="2" t="n">
        <f aca="false">COUNTIFS('Before-After'!$C:$C,C5,'Before-After'!$F:$F,"&lt;&gt;R3")</f>
        <v>4</v>
      </c>
      <c r="G5" s="2"/>
    </row>
    <row r="6" customFormat="false" ht="23.85" hidden="false" customHeight="false" outlineLevel="0" collapsed="false">
      <c r="A6" s="2" t="n">
        <v>5</v>
      </c>
      <c r="B6" s="2" t="s">
        <v>72</v>
      </c>
      <c r="C6" s="2" t="n">
        <v>57402</v>
      </c>
      <c r="D6" s="2" t="s">
        <v>416</v>
      </c>
      <c r="E6" s="2" t="n">
        <f aca="false">COUNTIF('Before-After'!$C:$C,C6)</f>
        <v>4</v>
      </c>
      <c r="F6" s="2" t="n">
        <f aca="false">COUNTIFS('Before-After'!$C:$C,C6,'Before-After'!$F:$F,"&lt;&gt;R3")</f>
        <v>4</v>
      </c>
      <c r="G6" s="2"/>
    </row>
    <row r="7" customFormat="false" ht="23.85" hidden="false" customHeight="false" outlineLevel="0" collapsed="false">
      <c r="A7" s="2" t="n">
        <v>6</v>
      </c>
      <c r="B7" s="2" t="s">
        <v>86</v>
      </c>
      <c r="C7" s="2" t="n">
        <v>57394</v>
      </c>
      <c r="D7" s="2" t="s">
        <v>417</v>
      </c>
      <c r="E7" s="2" t="n">
        <f aca="false">COUNTIF('Before-After'!$C:$C,C7)</f>
        <v>1</v>
      </c>
      <c r="F7" s="2" t="n">
        <f aca="false">COUNTIFS('Before-After'!$C:$C,C7,'Before-After'!$F:$F,"&lt;&gt;R3")</f>
        <v>1</v>
      </c>
      <c r="G7" s="2"/>
    </row>
    <row r="8" customFormat="false" ht="23.85" hidden="false" customHeight="false" outlineLevel="0" collapsed="false">
      <c r="A8" s="2" t="n">
        <v>7</v>
      </c>
      <c r="B8" s="2" t="s">
        <v>89</v>
      </c>
      <c r="C8" s="2" t="n">
        <v>57227</v>
      </c>
      <c r="D8" s="2" t="s">
        <v>418</v>
      </c>
      <c r="E8" s="2" t="n">
        <f aca="false">COUNTIF('Before-After'!$C:$C,C8)</f>
        <v>1</v>
      </c>
      <c r="F8" s="2" t="n">
        <f aca="false">COUNTIFS('Before-After'!$C:$C,C8,'Before-After'!$F:$F,"&lt;&gt;R3")</f>
        <v>1</v>
      </c>
      <c r="G8" s="2"/>
    </row>
    <row r="9" customFormat="false" ht="23.85" hidden="false" customHeight="false" outlineLevel="0" collapsed="false">
      <c r="A9" s="2" t="n">
        <v>8</v>
      </c>
      <c r="B9" s="2" t="s">
        <v>92</v>
      </c>
      <c r="C9" s="2" t="n">
        <v>57215</v>
      </c>
      <c r="D9" s="2" t="s">
        <v>419</v>
      </c>
      <c r="E9" s="2" t="n">
        <f aca="false">COUNTIF('Before-After'!$C:$C,C9)</f>
        <v>5</v>
      </c>
      <c r="F9" s="2" t="n">
        <f aca="false">COUNTIFS('Before-After'!$C:$C,C9,'Before-After'!$F:$F,"&lt;&gt;R3")</f>
        <v>5</v>
      </c>
      <c r="G9" s="2"/>
    </row>
    <row r="10" customFormat="false" ht="23.85" hidden="false" customHeight="false" outlineLevel="0" collapsed="false">
      <c r="A10" s="2" t="n">
        <v>9</v>
      </c>
      <c r="B10" s="2" t="s">
        <v>107</v>
      </c>
      <c r="C10" s="2" t="n">
        <v>57195</v>
      </c>
      <c r="D10" s="2" t="s">
        <v>420</v>
      </c>
      <c r="E10" s="2" t="n">
        <f aca="false">COUNTIF('Before-After'!$C:$C,C10)</f>
        <v>2</v>
      </c>
      <c r="F10" s="2" t="n">
        <f aca="false">COUNTIFS('Before-After'!$C:$C,C10,'Before-After'!$F:$F,"&lt;&gt;R3")</f>
        <v>2</v>
      </c>
      <c r="G10" s="2"/>
    </row>
    <row r="11" customFormat="false" ht="15" hidden="false" customHeight="false" outlineLevel="0" collapsed="false">
      <c r="A11" s="2" t="n">
        <v>10</v>
      </c>
      <c r="B11" s="2" t="s">
        <v>112</v>
      </c>
      <c r="C11" s="2" t="n">
        <v>57256</v>
      </c>
      <c r="D11" s="2" t="s">
        <v>421</v>
      </c>
      <c r="E11" s="2" t="n">
        <f aca="false">COUNTIF('Before-After'!$C:$C,C11)</f>
        <v>3</v>
      </c>
      <c r="F11" s="2" t="n">
        <f aca="false">COUNTIFS('Before-After'!$C:$C,C11,'Before-After'!$F:$F,"&lt;&gt;R3")</f>
        <v>3</v>
      </c>
      <c r="G11" s="2"/>
    </row>
    <row r="12" customFormat="false" ht="35.05" hidden="false" customHeight="false" outlineLevel="0" collapsed="false">
      <c r="A12" s="2" t="n">
        <v>11</v>
      </c>
      <c r="B12" s="2" t="s">
        <v>123</v>
      </c>
      <c r="C12" s="2" t="n">
        <v>57187</v>
      </c>
      <c r="D12" s="2" t="s">
        <v>422</v>
      </c>
      <c r="E12" s="2" t="n">
        <f aca="false">COUNTIF('Before-After'!$C:$C,C12)</f>
        <v>3</v>
      </c>
      <c r="F12" s="2" t="n">
        <f aca="false">COUNTIFS('Before-After'!$C:$C,C12,'Before-After'!$F:$F,"&lt;&gt;R3")</f>
        <v>3</v>
      </c>
      <c r="G12" s="2" t="s">
        <v>423</v>
      </c>
    </row>
    <row r="13" customFormat="false" ht="35.05" hidden="false" customHeight="false" outlineLevel="0" collapsed="false">
      <c r="A13" s="2" t="n">
        <v>12</v>
      </c>
      <c r="B13" s="2" t="s">
        <v>138</v>
      </c>
      <c r="C13" s="2" t="n">
        <v>57171</v>
      </c>
      <c r="D13" s="2" t="s">
        <v>424</v>
      </c>
      <c r="E13" s="2" t="n">
        <f aca="false">COUNTIF('Before-After'!$C:$C,C13)</f>
        <v>1</v>
      </c>
      <c r="F13" s="2" t="n">
        <f aca="false">COUNTIFS('Before-After'!$C:$C,C13,'Before-After'!$F:$F,"&lt;&gt;R3")</f>
        <v>1</v>
      </c>
      <c r="G13" s="2" t="s">
        <v>423</v>
      </c>
    </row>
    <row r="14" customFormat="false" ht="35.05" hidden="false" customHeight="false" outlineLevel="0" collapsed="false">
      <c r="A14" s="2" t="n">
        <v>13</v>
      </c>
      <c r="B14" s="2" t="s">
        <v>142</v>
      </c>
      <c r="C14" s="2" t="n">
        <v>57028</v>
      </c>
      <c r="D14" s="2" t="s">
        <v>425</v>
      </c>
      <c r="E14" s="2" t="n">
        <f aca="false">COUNTIF('Before-After'!$C:$C,C14)</f>
        <v>4</v>
      </c>
      <c r="F14" s="2" t="n">
        <f aca="false">COUNTIFS('Before-After'!$C:$C,C14,'Before-After'!$F:$F,"&lt;&gt;R3")</f>
        <v>4</v>
      </c>
      <c r="G14" s="2" t="s">
        <v>423</v>
      </c>
    </row>
    <row r="15" customFormat="false" ht="35.05" hidden="false" customHeight="false" outlineLevel="0" collapsed="false">
      <c r="A15" s="2" t="n">
        <v>14</v>
      </c>
      <c r="B15" s="2" t="s">
        <v>156</v>
      </c>
      <c r="C15" s="2" t="n">
        <v>57031</v>
      </c>
      <c r="D15" s="2" t="s">
        <v>426</v>
      </c>
      <c r="E15" s="2" t="n">
        <f aca="false">COUNTIF('Before-After'!$C:$C,C15)</f>
        <v>4</v>
      </c>
      <c r="F15" s="2" t="n">
        <f aca="false">COUNTIFS('Before-After'!$C:$C,C15,'Before-After'!$F:$F,"&lt;&gt;R3")</f>
        <v>4</v>
      </c>
      <c r="G15" s="2" t="s">
        <v>423</v>
      </c>
    </row>
    <row r="16" customFormat="false" ht="35.05" hidden="false" customHeight="false" outlineLevel="0" collapsed="false">
      <c r="A16" s="2" t="n">
        <v>15</v>
      </c>
      <c r="B16" s="2" t="s">
        <v>169</v>
      </c>
      <c r="C16" s="2" t="n">
        <v>57029</v>
      </c>
      <c r="D16" s="2" t="s">
        <v>427</v>
      </c>
      <c r="E16" s="2" t="n">
        <f aca="false">COUNTIF('Before-After'!$C:$C,C16)</f>
        <v>4</v>
      </c>
      <c r="F16" s="2" t="n">
        <f aca="false">COUNTIFS('Before-After'!$C:$C,C16,'Before-After'!$F:$F,"&lt;&gt;R3")</f>
        <v>4</v>
      </c>
      <c r="G16" s="2" t="s">
        <v>423</v>
      </c>
    </row>
    <row r="17" customFormat="false" ht="35.05" hidden="false" customHeight="false" outlineLevel="0" collapsed="false">
      <c r="A17" s="2" t="n">
        <v>16</v>
      </c>
      <c r="B17" s="2" t="s">
        <v>182</v>
      </c>
      <c r="C17" s="2" t="n">
        <v>57027</v>
      </c>
      <c r="D17" s="2" t="s">
        <v>428</v>
      </c>
      <c r="E17" s="2" t="n">
        <f aca="false">COUNTIF('Before-After'!$C:$C,C17)</f>
        <v>4</v>
      </c>
      <c r="F17" s="2" t="n">
        <f aca="false">COUNTIFS('Before-After'!$C:$C,C17,'Before-After'!$F:$F,"&lt;&gt;R3")</f>
        <v>4</v>
      </c>
      <c r="G17" s="2" t="s">
        <v>423</v>
      </c>
    </row>
    <row r="18" customFormat="false" ht="46.25" hidden="false" customHeight="false" outlineLevel="0" collapsed="false">
      <c r="A18" s="2" t="n">
        <v>17</v>
      </c>
      <c r="B18" s="2" t="s">
        <v>195</v>
      </c>
      <c r="C18" s="2" t="n">
        <v>56975</v>
      </c>
      <c r="D18" s="2" t="s">
        <v>429</v>
      </c>
      <c r="E18" s="2" t="n">
        <f aca="false">COUNTIF('Before-After'!$C:$C,C18)</f>
        <v>2</v>
      </c>
      <c r="F18" s="2" t="n">
        <f aca="false">COUNTIFS('Before-After'!$C:$C,C18,'Before-After'!$F:$F,"&lt;&gt;R3")</f>
        <v>2</v>
      </c>
      <c r="G18" s="2" t="s">
        <v>430</v>
      </c>
    </row>
    <row r="19" customFormat="false" ht="46.25" hidden="false" customHeight="false" outlineLevel="0" collapsed="false">
      <c r="A19" s="2" t="n">
        <v>18</v>
      </c>
      <c r="B19" s="2" t="s">
        <v>206</v>
      </c>
      <c r="C19" s="2" t="n">
        <v>56967</v>
      </c>
      <c r="D19" s="2" t="s">
        <v>431</v>
      </c>
      <c r="E19" s="2" t="n">
        <f aca="false">COUNTIF('Before-After'!$C:$C,C19)</f>
        <v>1</v>
      </c>
      <c r="F19" s="2" t="n">
        <f aca="false">COUNTIFS('Before-After'!$C:$C,C19,'Before-After'!$F:$F,"&lt;&gt;R3")</f>
        <v>1</v>
      </c>
      <c r="G19" s="2" t="s">
        <v>430</v>
      </c>
    </row>
    <row r="20" customFormat="false" ht="46.25" hidden="false" customHeight="false" outlineLevel="0" collapsed="false">
      <c r="A20" s="2" t="n">
        <v>19</v>
      </c>
      <c r="B20" s="2" t="s">
        <v>212</v>
      </c>
      <c r="C20" s="2" t="n">
        <v>56955</v>
      </c>
      <c r="D20" s="2" t="s">
        <v>432</v>
      </c>
      <c r="E20" s="2" t="n">
        <f aca="false">COUNTIF('Before-After'!$C:$C,C20)</f>
        <v>1</v>
      </c>
      <c r="F20" s="2" t="n">
        <f aca="false">COUNTIFS('Before-After'!$C:$C,C20,'Before-After'!$F:$F,"&lt;&gt;R3")</f>
        <v>1</v>
      </c>
      <c r="G20" s="2" t="s">
        <v>430</v>
      </c>
    </row>
    <row r="21" customFormat="false" ht="57.45" hidden="false" customHeight="false" outlineLevel="0" collapsed="false">
      <c r="A21" s="2" t="n">
        <v>20</v>
      </c>
      <c r="B21" s="2" t="s">
        <v>218</v>
      </c>
      <c r="C21" s="2" t="n">
        <v>54502</v>
      </c>
      <c r="D21" s="2" t="s">
        <v>433</v>
      </c>
      <c r="E21" s="2" t="n">
        <f aca="false">COUNTIF('Before-After'!$C:$C,C21)</f>
        <v>8</v>
      </c>
      <c r="F21" s="2" t="n">
        <f aca="false">COUNTIFS('Before-After'!$C:$C,C21,'Before-After'!$F:$F,"&lt;&gt;R3")</f>
        <v>0</v>
      </c>
      <c r="G21" s="2" t="s">
        <v>434</v>
      </c>
    </row>
    <row r="22" customFormat="false" ht="35.05" hidden="false" customHeight="false" outlineLevel="0" collapsed="false">
      <c r="A22" s="2" t="n">
        <v>21</v>
      </c>
      <c r="B22" s="2" t="s">
        <v>244</v>
      </c>
      <c r="C22" s="2" t="n">
        <v>56939</v>
      </c>
      <c r="D22" s="2" t="s">
        <v>435</v>
      </c>
      <c r="E22" s="2" t="n">
        <f aca="false">COUNTIF('Before-After'!$C:$C,C22)</f>
        <v>2</v>
      </c>
      <c r="F22" s="2" t="n">
        <f aca="false">COUNTIFS('Before-After'!$C:$C,C22,'Before-After'!$F:$F,"&lt;&gt;R3")</f>
        <v>2</v>
      </c>
      <c r="G22" s="2"/>
    </row>
    <row r="23" customFormat="false" ht="23.85" hidden="false" customHeight="false" outlineLevel="0" collapsed="false">
      <c r="A23" s="2" t="n">
        <v>22</v>
      </c>
      <c r="B23" s="2" t="s">
        <v>256</v>
      </c>
      <c r="C23" s="2" t="n">
        <v>54352</v>
      </c>
      <c r="D23" s="2" t="s">
        <v>436</v>
      </c>
      <c r="E23" s="2" t="n">
        <f aca="false">COUNTIF('Before-After'!$C:$C,C23)</f>
        <v>1</v>
      </c>
      <c r="F23" s="2" t="n">
        <f aca="false">COUNTIFS('Before-After'!$C:$C,C23,'Before-After'!$F:$F,"&lt;&gt;R3")</f>
        <v>1</v>
      </c>
      <c r="G23" s="2"/>
    </row>
    <row r="24" customFormat="false" ht="23.85" hidden="false" customHeight="false" outlineLevel="0" collapsed="false">
      <c r="A24" s="2" t="n">
        <v>23</v>
      </c>
      <c r="B24" s="2" t="s">
        <v>262</v>
      </c>
      <c r="C24" s="2" t="n">
        <v>53837</v>
      </c>
      <c r="D24" s="2" t="s">
        <v>437</v>
      </c>
      <c r="E24" s="2" t="n">
        <f aca="false">COUNTIF('Before-After'!$C:$C,C24)</f>
        <v>1</v>
      </c>
      <c r="F24" s="2" t="n">
        <f aca="false">COUNTIFS('Before-After'!$C:$C,C24,'Before-After'!$F:$F,"&lt;&gt;R3")</f>
        <v>0</v>
      </c>
      <c r="G24" s="2" t="s">
        <v>438</v>
      </c>
    </row>
    <row r="25" customFormat="false" ht="15" hidden="false" customHeight="false" outlineLevel="0" collapsed="false">
      <c r="A25" s="2" t="n">
        <v>24</v>
      </c>
      <c r="B25" s="2" t="s">
        <v>266</v>
      </c>
      <c r="C25" s="2" t="n">
        <v>53958</v>
      </c>
      <c r="D25" s="2" t="s">
        <v>439</v>
      </c>
      <c r="E25" s="2" t="n">
        <f aca="false">COUNTIF('Before-After'!$C:$C,C25)</f>
        <v>4</v>
      </c>
      <c r="F25" s="2" t="n">
        <f aca="false">COUNTIFS('Before-After'!$C:$C,C25,'Before-After'!$F:$F,"&lt;&gt;R3")</f>
        <v>4</v>
      </c>
      <c r="G25" s="2"/>
    </row>
    <row r="26" customFormat="false" ht="35.05" hidden="false" customHeight="false" outlineLevel="0" collapsed="false">
      <c r="A26" s="2" t="n">
        <v>25</v>
      </c>
      <c r="B26" s="2" t="s">
        <v>282</v>
      </c>
      <c r="C26" s="2" t="n">
        <v>53768</v>
      </c>
      <c r="D26" s="2" t="s">
        <v>440</v>
      </c>
      <c r="E26" s="2" t="n">
        <f aca="false">COUNTIF('Before-After'!$C:$C,C26)</f>
        <v>1</v>
      </c>
      <c r="F26" s="2" t="n">
        <f aca="false">COUNTIFS('Before-After'!$C:$C,C26,'Before-After'!$F:$F,"&lt;&gt;R3")</f>
        <v>0</v>
      </c>
      <c r="G26" s="2" t="s">
        <v>441</v>
      </c>
    </row>
    <row r="27" customFormat="false" ht="23.85" hidden="false" customHeight="false" outlineLevel="0" collapsed="false">
      <c r="A27" s="2" t="n">
        <v>26</v>
      </c>
      <c r="B27" s="2" t="s">
        <v>287</v>
      </c>
      <c r="C27" s="2" t="n">
        <v>53904</v>
      </c>
      <c r="D27" s="2" t="s">
        <v>442</v>
      </c>
      <c r="E27" s="2" t="n">
        <f aca="false">COUNTIF('Before-After'!$C:$C,C27)</f>
        <v>2</v>
      </c>
      <c r="F27" s="2" t="n">
        <f aca="false">COUNTIFS('Before-After'!$C:$C,C27,'Before-After'!$F:$F,"&lt;&gt;R3")</f>
        <v>0</v>
      </c>
      <c r="G27" s="2" t="s">
        <v>438</v>
      </c>
    </row>
    <row r="28" customFormat="false" ht="35.05" hidden="false" customHeight="false" outlineLevel="0" collapsed="false">
      <c r="A28" s="2" t="n">
        <v>27</v>
      </c>
      <c r="B28" s="2" t="s">
        <v>292</v>
      </c>
      <c r="C28" s="2" t="n">
        <v>53925</v>
      </c>
      <c r="D28" s="2" t="s">
        <v>443</v>
      </c>
      <c r="E28" s="2" t="n">
        <f aca="false">COUNTIF('Before-After'!$C:$C,C28)</f>
        <v>2</v>
      </c>
      <c r="F28" s="2" t="n">
        <f aca="false">COUNTIFS('Before-After'!$C:$C,C28,'Before-After'!$F:$F,"&lt;&gt;R3")</f>
        <v>0</v>
      </c>
      <c r="G28" s="2" t="s">
        <v>438</v>
      </c>
    </row>
    <row r="29" customFormat="false" ht="23.85" hidden="false" customHeight="false" outlineLevel="0" collapsed="false">
      <c r="A29" s="2" t="n">
        <v>28</v>
      </c>
      <c r="B29" s="2" t="s">
        <v>299</v>
      </c>
      <c r="C29" s="2" t="n">
        <v>53926</v>
      </c>
      <c r="D29" s="2" t="s">
        <v>444</v>
      </c>
      <c r="E29" s="2" t="n">
        <f aca="false">COUNTIF('Before-After'!$C:$C,C29)</f>
        <v>1</v>
      </c>
      <c r="F29" s="2" t="n">
        <f aca="false">COUNTIFS('Before-After'!$C:$C,C29,'Before-After'!$F:$F,"&lt;&gt;R3")</f>
        <v>0</v>
      </c>
      <c r="G29" s="2" t="s">
        <v>438</v>
      </c>
    </row>
    <row r="30" customFormat="false" ht="23.85" hidden="false" customHeight="false" outlineLevel="0" collapsed="false">
      <c r="A30" s="2" t="n">
        <v>29</v>
      </c>
      <c r="B30" s="2" t="s">
        <v>302</v>
      </c>
      <c r="C30" s="2" t="n">
        <v>53228</v>
      </c>
      <c r="D30" s="2" t="s">
        <v>445</v>
      </c>
      <c r="E30" s="2" t="n">
        <f aca="false">COUNTIF('Before-After'!$C:$C,C30)</f>
        <v>1</v>
      </c>
      <c r="F30" s="2" t="n">
        <f aca="false">COUNTIFS('Before-After'!$C:$C,C30,'Before-After'!$F:$F,"&lt;&gt;R3")</f>
        <v>0</v>
      </c>
      <c r="G30" s="2" t="s">
        <v>438</v>
      </c>
    </row>
    <row r="31" customFormat="false" ht="15" hidden="false" customHeight="false" outlineLevel="0" collapsed="false">
      <c r="A31" s="2" t="n">
        <v>30</v>
      </c>
      <c r="B31" s="2" t="s">
        <v>307</v>
      </c>
      <c r="C31" s="2" t="n">
        <v>52694</v>
      </c>
      <c r="D31" s="2" t="s">
        <v>446</v>
      </c>
      <c r="E31" s="2" t="n">
        <f aca="false">COUNTIF('Before-After'!$C:$C,C31)</f>
        <v>1</v>
      </c>
      <c r="F31" s="2" t="n">
        <f aca="false">COUNTIFS('Before-After'!$C:$C,C31,'Before-After'!$F:$F,"&lt;&gt;R3")</f>
        <v>0</v>
      </c>
      <c r="G31" s="2"/>
    </row>
    <row r="32" customFormat="false" ht="23.85" hidden="false" customHeight="false" outlineLevel="0" collapsed="false">
      <c r="A32" s="2" t="n">
        <v>31</v>
      </c>
      <c r="B32" s="2" t="s">
        <v>311</v>
      </c>
      <c r="C32" s="2" t="n">
        <v>52605</v>
      </c>
      <c r="D32" s="2" t="s">
        <v>447</v>
      </c>
      <c r="E32" s="2" t="n">
        <f aca="false">COUNTIF('Before-After'!$C:$C,C32)</f>
        <v>1</v>
      </c>
      <c r="F32" s="2" t="n">
        <f aca="false">COUNTIFS('Before-After'!$C:$C,C32,'Before-After'!$F:$F,"&lt;&gt;R3")</f>
        <v>1</v>
      </c>
      <c r="G32" s="2"/>
    </row>
    <row r="33" customFormat="false" ht="23.85" hidden="false" customHeight="false" outlineLevel="0" collapsed="false">
      <c r="A33" s="2" t="n">
        <v>32</v>
      </c>
      <c r="B33" s="2" t="s">
        <v>316</v>
      </c>
      <c r="C33" s="2" t="n">
        <v>51601</v>
      </c>
      <c r="D33" s="2" t="s">
        <v>448</v>
      </c>
      <c r="E33" s="2" t="n">
        <f aca="false">COUNTIF('Before-After'!$C:$C,C33)</f>
        <v>1</v>
      </c>
      <c r="F33" s="2" t="n">
        <f aca="false">COUNTIFS('Before-After'!$C:$C,C33,'Before-After'!$F:$F,"&lt;&gt;R3")</f>
        <v>0</v>
      </c>
      <c r="G33" s="2"/>
    </row>
    <row r="34" customFormat="false" ht="23.85" hidden="false" customHeight="false" outlineLevel="0" collapsed="false">
      <c r="A34" s="2" t="n">
        <v>33</v>
      </c>
      <c r="B34" s="2" t="s">
        <v>320</v>
      </c>
      <c r="C34" s="2" t="n">
        <v>51161</v>
      </c>
      <c r="D34" s="2" t="s">
        <v>449</v>
      </c>
      <c r="E34" s="2" t="n">
        <f aca="false">COUNTIF('Before-After'!$C:$C,C34)</f>
        <v>1</v>
      </c>
      <c r="F34" s="2" t="n">
        <f aca="false">COUNTIFS('Before-After'!$C:$C,C34,'Before-After'!$F:$F,"&lt;&gt;R3")</f>
        <v>1</v>
      </c>
      <c r="G34" s="2" t="s">
        <v>450</v>
      </c>
    </row>
    <row r="35" customFormat="false" ht="15" hidden="false" customHeight="false" outlineLevel="0" collapsed="false">
      <c r="A35" s="2" t="n">
        <v>34</v>
      </c>
      <c r="B35" s="2" t="s">
        <v>327</v>
      </c>
      <c r="C35" s="2" t="n">
        <v>51135</v>
      </c>
      <c r="D35" s="2" t="s">
        <v>451</v>
      </c>
      <c r="E35" s="2" t="n">
        <f aca="false">COUNTIF('Before-After'!$C:$C,C35)</f>
        <v>2</v>
      </c>
      <c r="F35" s="2" t="n">
        <f aca="false">COUNTIFS('Before-After'!$C:$C,C35,'Before-After'!$F:$F,"&lt;&gt;R3")</f>
        <v>2</v>
      </c>
      <c r="G35" s="2" t="s">
        <v>452</v>
      </c>
    </row>
    <row r="36" customFormat="false" ht="23.85" hidden="false" customHeight="false" outlineLevel="0" collapsed="false">
      <c r="A36" s="2" t="n">
        <v>35</v>
      </c>
      <c r="B36" s="2" t="s">
        <v>333</v>
      </c>
      <c r="C36" s="2" t="n">
        <v>51077</v>
      </c>
      <c r="D36" s="2" t="s">
        <v>453</v>
      </c>
      <c r="E36" s="2" t="n">
        <f aca="false">COUNTIF('Before-After'!$C:$C,C36)</f>
        <v>1</v>
      </c>
      <c r="F36" s="2" t="n">
        <f aca="false">COUNTIFS('Before-After'!$C:$C,C36,'Before-After'!$F:$F,"&lt;&gt;R3")</f>
        <v>0</v>
      </c>
      <c r="G36" s="2"/>
    </row>
    <row r="37" customFormat="false" ht="15" hidden="false" customHeight="false" outlineLevel="0" collapsed="false">
      <c r="A37" s="2" t="n">
        <v>36</v>
      </c>
      <c r="B37" s="2" t="s">
        <v>337</v>
      </c>
      <c r="C37" s="2" t="n">
        <v>51049</v>
      </c>
      <c r="D37" s="2" t="s">
        <v>454</v>
      </c>
      <c r="E37" s="2" t="n">
        <f aca="false">COUNTIF('Before-After'!$C:$C,C37)</f>
        <v>2</v>
      </c>
      <c r="F37" s="2" t="n">
        <f aca="false">COUNTIFS('Before-After'!$C:$C,C37,'Before-After'!$F:$F,"&lt;&gt;R3")</f>
        <v>2</v>
      </c>
      <c r="G37" s="2"/>
    </row>
    <row r="38" customFormat="false" ht="35.05" hidden="false" customHeight="false" outlineLevel="0" collapsed="false">
      <c r="A38" s="2" t="n">
        <v>37</v>
      </c>
      <c r="B38" s="2" t="s">
        <v>342</v>
      </c>
      <c r="C38" s="2" t="n">
        <v>51039</v>
      </c>
      <c r="D38" s="2" t="s">
        <v>455</v>
      </c>
      <c r="E38" s="2" t="n">
        <f aca="false">COUNTIF('Before-After'!$C:$C,C38)</f>
        <v>2</v>
      </c>
      <c r="F38" s="2" t="n">
        <f aca="false">COUNTIFS('Before-After'!$C:$C,C38,'Before-After'!$F:$F,"&lt;&gt;R3")</f>
        <v>2</v>
      </c>
      <c r="G38" s="2" t="s">
        <v>456</v>
      </c>
    </row>
    <row r="39" customFormat="false" ht="15" hidden="false" customHeight="false" outlineLevel="0" collapsed="false">
      <c r="A39" s="2" t="n">
        <v>38</v>
      </c>
      <c r="B39" s="2" t="s">
        <v>343</v>
      </c>
      <c r="C39" s="2" t="n">
        <v>51037</v>
      </c>
      <c r="D39" s="2" t="s">
        <v>457</v>
      </c>
      <c r="E39" s="2" t="n">
        <f aca="false">COUNTIF('Before-After'!$C:$C,C39)</f>
        <v>2</v>
      </c>
      <c r="F39" s="2" t="n">
        <f aca="false">COUNTIFS('Before-After'!$C:$C,C39,'Before-After'!$F:$F,"&lt;&gt;R3")</f>
        <v>2</v>
      </c>
      <c r="G39" s="2"/>
    </row>
    <row r="40" customFormat="false" ht="15" hidden="false" customHeight="false" outlineLevel="0" collapsed="false">
      <c r="A40" s="2" t="n">
        <v>39</v>
      </c>
      <c r="B40" s="2" t="s">
        <v>348</v>
      </c>
      <c r="C40" s="2" t="n">
        <v>51035</v>
      </c>
      <c r="D40" s="2" t="s">
        <v>458</v>
      </c>
      <c r="E40" s="2" t="n">
        <f aca="false">COUNTIF('Before-After'!$C:$C,C40)</f>
        <v>2</v>
      </c>
      <c r="F40" s="2" t="n">
        <f aca="false">COUNTIFS('Before-After'!$C:$C,C40,'Before-After'!$F:$F,"&lt;&gt;R3")</f>
        <v>2</v>
      </c>
      <c r="G40" s="2"/>
    </row>
    <row r="41" customFormat="false" ht="23.85" hidden="false" customHeight="false" outlineLevel="0" collapsed="false">
      <c r="A41" s="2" t="n">
        <v>40</v>
      </c>
      <c r="B41" s="2" t="s">
        <v>349</v>
      </c>
      <c r="C41" s="2" t="n">
        <v>51031</v>
      </c>
      <c r="D41" s="2" t="s">
        <v>459</v>
      </c>
      <c r="E41" s="2" t="n">
        <f aca="false">COUNTIF('Before-After'!$C:$C,C41)</f>
        <v>1</v>
      </c>
      <c r="F41" s="2" t="n">
        <f aca="false">COUNTIFS('Before-After'!$C:$C,C41,'Before-After'!$F:$F,"&lt;&gt;R3")</f>
        <v>1</v>
      </c>
      <c r="G41" s="2"/>
    </row>
    <row r="42" customFormat="false" ht="23.85" hidden="false" customHeight="false" outlineLevel="0" collapsed="false">
      <c r="A42" s="2" t="n">
        <v>41</v>
      </c>
      <c r="B42" s="2" t="s">
        <v>350</v>
      </c>
      <c r="C42" s="2" t="n">
        <v>51029</v>
      </c>
      <c r="D42" s="2" t="s">
        <v>460</v>
      </c>
      <c r="E42" s="2" t="n">
        <f aca="false">COUNTIF('Before-After'!$C:$C,C42)</f>
        <v>2</v>
      </c>
      <c r="F42" s="2" t="n">
        <f aca="false">COUNTIFS('Before-After'!$C:$C,C42,'Before-After'!$F:$F,"&lt;&gt;R3")</f>
        <v>2</v>
      </c>
      <c r="G42" s="2"/>
    </row>
    <row r="43" customFormat="false" ht="23.85" hidden="false" customHeight="false" outlineLevel="0" collapsed="false">
      <c r="A43" s="2" t="n">
        <v>42</v>
      </c>
      <c r="B43" s="2" t="s">
        <v>358</v>
      </c>
      <c r="C43" s="2" t="n">
        <v>51027</v>
      </c>
      <c r="D43" s="2" t="s">
        <v>461</v>
      </c>
      <c r="E43" s="2" t="n">
        <f aca="false">COUNTIF('Before-After'!$C:$C,C43)</f>
        <v>4</v>
      </c>
      <c r="F43" s="2" t="n">
        <f aca="false">COUNTIFS('Before-After'!$C:$C,C43,'Before-After'!$F:$F,"&lt;&gt;R3")</f>
        <v>2</v>
      </c>
      <c r="G43" s="2"/>
    </row>
    <row r="44" customFormat="false" ht="15" hidden="false" customHeight="false" outlineLevel="0" collapsed="false">
      <c r="A44" s="2" t="n">
        <v>43</v>
      </c>
      <c r="B44" s="2" t="s">
        <v>366</v>
      </c>
      <c r="C44" s="2" t="n">
        <v>50608</v>
      </c>
      <c r="D44" s="2" t="s">
        <v>462</v>
      </c>
      <c r="E44" s="2" t="n">
        <f aca="false">COUNTIF('Before-After'!$C:$C,C44)</f>
        <v>2</v>
      </c>
      <c r="F44" s="2" t="n">
        <f aca="false">COUNTIFS('Before-After'!$C:$C,C44,'Before-After'!$F:$F,"&lt;&gt;R3")</f>
        <v>2</v>
      </c>
      <c r="G44" s="2"/>
    </row>
    <row r="45" customFormat="false" ht="15" hidden="false" customHeight="false" outlineLevel="0" collapsed="false">
      <c r="A45" s="2" t="n">
        <v>44</v>
      </c>
      <c r="B45" s="2" t="s">
        <v>369</v>
      </c>
      <c r="C45" s="2" t="n">
        <v>50577</v>
      </c>
      <c r="D45" s="2" t="s">
        <v>463</v>
      </c>
      <c r="E45" s="2" t="n">
        <f aca="false">COUNTIF('Before-After'!$C:$C,C45)</f>
        <v>3</v>
      </c>
      <c r="F45" s="2" t="n">
        <f aca="false">COUNTIFS('Before-After'!$C:$C,C45,'Before-After'!$F:$F,"&lt;&gt;R3")</f>
        <v>2</v>
      </c>
      <c r="G45" s="2"/>
    </row>
    <row r="46" customFormat="false" ht="35.05" hidden="false" customHeight="false" outlineLevel="0" collapsed="false">
      <c r="A46" s="2" t="n">
        <v>45</v>
      </c>
      <c r="B46" s="2" t="s">
        <v>375</v>
      </c>
      <c r="C46" s="2" t="n">
        <v>50477</v>
      </c>
      <c r="D46" s="2" t="s">
        <v>464</v>
      </c>
      <c r="E46" s="2" t="n">
        <f aca="false">COUNTIF('Before-After'!$C:$C,C46)</f>
        <v>6</v>
      </c>
      <c r="F46" s="2" t="n">
        <f aca="false">COUNTIFS('Before-After'!$C:$C,C46,'Before-After'!$F:$F,"&lt;&gt;R3")</f>
        <v>1</v>
      </c>
      <c r="G46" s="2" t="s">
        <v>465</v>
      </c>
    </row>
    <row r="47" customFormat="false" ht="15" hidden="false" customHeight="false" outlineLevel="0" collapsed="false">
      <c r="A47" s="2" t="n">
        <v>46</v>
      </c>
      <c r="B47" s="2" t="s">
        <v>392</v>
      </c>
      <c r="C47" s="2" t="n">
        <v>50443</v>
      </c>
      <c r="D47" s="2" t="s">
        <v>466</v>
      </c>
      <c r="E47" s="2" t="n">
        <f aca="false">COUNTIF('Before-After'!$C:$C,C47)</f>
        <v>2</v>
      </c>
      <c r="F47" s="2" t="n">
        <f aca="false">COUNTIFS('Before-After'!$C:$C,C47,'Before-After'!$F:$F,"&lt;&gt;R3")</f>
        <v>2</v>
      </c>
      <c r="G47" s="2"/>
    </row>
    <row r="48" customFormat="false" ht="23.85" hidden="false" customHeight="false" outlineLevel="0" collapsed="false">
      <c r="A48" s="2" t="n">
        <v>47</v>
      </c>
      <c r="B48" s="2" t="s">
        <v>395</v>
      </c>
      <c r="C48" s="2" t="n">
        <v>50441</v>
      </c>
      <c r="D48" s="2" t="s">
        <v>467</v>
      </c>
      <c r="E48" s="2" t="n">
        <f aca="false">COUNTIF('Before-After'!$C:$C,C48)</f>
        <v>3</v>
      </c>
      <c r="F48" s="2" t="n">
        <f aca="false">COUNTIFS('Before-After'!$C:$C,C48,'Before-After'!$F:$F,"&lt;&gt;R3")</f>
        <v>2</v>
      </c>
      <c r="G48" s="2"/>
    </row>
    <row r="49" customFormat="false" ht="23.85" hidden="false" customHeight="false" outlineLevel="0" collapsed="false">
      <c r="A49" s="2" t="n">
        <v>48</v>
      </c>
      <c r="B49" s="2" t="s">
        <v>399</v>
      </c>
      <c r="C49" s="2" t="n">
        <v>50438</v>
      </c>
      <c r="D49" s="2" t="s">
        <v>468</v>
      </c>
      <c r="E49" s="2" t="n">
        <f aca="false">COUNTIF('Before-After'!$C:$C,C49)</f>
        <v>2</v>
      </c>
      <c r="F49" s="2" t="n">
        <f aca="false">COUNTIFS('Before-After'!$C:$C,C49,'Before-After'!$F:$F,"&lt;&gt;R3")</f>
        <v>2</v>
      </c>
      <c r="G49" s="2"/>
    </row>
    <row r="50" customFormat="false" ht="23.85" hidden="false" customHeight="false" outlineLevel="0" collapsed="false">
      <c r="A50" s="2" t="n">
        <v>49</v>
      </c>
      <c r="B50" s="2" t="s">
        <v>402</v>
      </c>
      <c r="C50" s="2" t="n">
        <v>50437</v>
      </c>
      <c r="D50" s="2" t="s">
        <v>469</v>
      </c>
      <c r="E50" s="2" t="n">
        <f aca="false">COUNTIF('Before-After'!$C:$C,C50)</f>
        <v>3</v>
      </c>
      <c r="F50" s="2" t="n">
        <f aca="false">COUNTIFS('Before-After'!$C:$C,C50,'Before-After'!$F:$F,"&lt;&gt;R3")</f>
        <v>2</v>
      </c>
      <c r="G50" s="2"/>
    </row>
    <row r="51" customFormat="false" ht="23.85" hidden="false" customHeight="false" outlineLevel="0" collapsed="false">
      <c r="A51" s="2" t="n">
        <v>50</v>
      </c>
      <c r="B51" s="2" t="s">
        <v>406</v>
      </c>
      <c r="C51" s="2" t="n">
        <v>50436</v>
      </c>
      <c r="D51" s="2" t="s">
        <v>470</v>
      </c>
      <c r="E51" s="2" t="n">
        <f aca="false">COUNTIF('Before-After'!$C:$C,C51)</f>
        <v>2</v>
      </c>
      <c r="F51" s="2" t="n">
        <f aca="false">COUNTIFS('Before-After'!$C:$C,C51,'Before-After'!$F:$F,"&lt;&gt;R3")</f>
        <v>2</v>
      </c>
      <c r="G51" s="2"/>
    </row>
    <row r="52" customFormat="false" ht="15" hidden="false" customHeight="false" outlineLevel="0" collapsed="false">
      <c r="A52" s="5"/>
      <c r="B52" s="5"/>
      <c r="C52" s="5"/>
      <c r="D52" s="5" t="s">
        <v>471</v>
      </c>
      <c r="E52" s="5" t="n">
        <f aca="false">SUM(E2:E51)</f>
        <v>122</v>
      </c>
      <c r="F52" s="5" t="n">
        <f aca="false">SUM(F2:F51)</f>
        <v>93</v>
      </c>
      <c r="G52"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60"/>
  </cols>
  <sheetData>
    <row r="1" customFormat="false" ht="15" hidden="false" customHeight="false" outlineLevel="0" collapsed="false">
      <c r="A1" s="1" t="s">
        <v>5</v>
      </c>
      <c r="B1" s="1" t="s">
        <v>472</v>
      </c>
      <c r="C1" s="1" t="s">
        <v>473</v>
      </c>
    </row>
    <row r="2" customFormat="false" ht="15" hidden="false" customHeight="false" outlineLevel="0" collapsed="false">
      <c r="A2" s="2" t="s">
        <v>16</v>
      </c>
      <c r="B2" s="2" t="s">
        <v>474</v>
      </c>
      <c r="C2" s="2" t="s">
        <v>475</v>
      </c>
    </row>
    <row r="3" customFormat="false" ht="15" hidden="false" customHeight="false" outlineLevel="0" collapsed="false">
      <c r="A3" s="2" t="s">
        <v>476</v>
      </c>
      <c r="B3" s="2" t="s">
        <v>477</v>
      </c>
      <c r="C3" s="2" t="s">
        <v>478</v>
      </c>
    </row>
    <row r="4" customFormat="false" ht="15" hidden="false" customHeight="false" outlineLevel="0" collapsed="false">
      <c r="A4" s="2" t="s">
        <v>220</v>
      </c>
      <c r="B4" s="2" t="s">
        <v>479</v>
      </c>
      <c r="C4" s="2" t="s">
        <v>480</v>
      </c>
    </row>
    <row r="5" customFormat="false" ht="15" hidden="false" customHeight="false" outlineLevel="0" collapsed="false">
      <c r="A5" s="2" t="s">
        <v>481</v>
      </c>
      <c r="B5" s="2" t="s">
        <v>482</v>
      </c>
      <c r="C5" s="2" t="s">
        <v>483</v>
      </c>
    </row>
    <row r="6" customFormat="false" ht="15" hidden="false" customHeight="false" outlineLevel="0" collapsed="false">
      <c r="A6" s="2" t="s">
        <v>484</v>
      </c>
      <c r="B6" s="2" t="s">
        <v>485</v>
      </c>
      <c r="C6" s="2" t="s">
        <v>486</v>
      </c>
    </row>
    <row r="7" customFormat="false" ht="15" hidden="false" customHeight="false" outlineLevel="0" collapsed="false">
      <c r="A7" s="2" t="s">
        <v>487</v>
      </c>
      <c r="B7" s="2" t="s">
        <v>488</v>
      </c>
      <c r="C7" s="2" t="s">
        <v>489</v>
      </c>
    </row>
    <row r="8" customFormat="false" ht="15" hidden="false" customHeight="false" outlineLevel="0" collapsed="false">
      <c r="A8" s="2" t="s">
        <v>380</v>
      </c>
      <c r="B8" s="2" t="s">
        <v>490</v>
      </c>
      <c r="C8" s="2" t="s">
        <v>491</v>
      </c>
    </row>
    <row r="10" customFormat="false" ht="23.85" hidden="false" customHeight="true" outlineLevel="0" collapsed="false">
      <c r="A10" s="6" t="s">
        <v>492</v>
      </c>
      <c r="B10" s="6"/>
      <c r="C10" s="6"/>
    </row>
    <row r="11" customFormat="false" ht="15" hidden="false" customHeight="true" outlineLevel="0" collapsed="false">
      <c r="A11" s="6" t="s">
        <v>493</v>
      </c>
      <c r="B11" s="6"/>
      <c r="C11" s="6"/>
    </row>
    <row r="12" customFormat="false" ht="15" hidden="false" customHeight="true" outlineLevel="0" collapsed="false">
      <c r="A12" s="6" t="s">
        <v>494</v>
      </c>
      <c r="B12" s="6"/>
      <c r="C12" s="6"/>
    </row>
    <row r="13" customFormat="false" ht="15" hidden="false" customHeight="true" outlineLevel="0" collapsed="false">
      <c r="A13" s="6" t="s">
        <v>495</v>
      </c>
      <c r="B13" s="6"/>
      <c r="C13" s="6"/>
    </row>
    <row r="14" customFormat="false" ht="15" hidden="false" customHeight="true" outlineLevel="0" collapsed="false">
      <c r="A14" s="6" t="s">
        <v>496</v>
      </c>
      <c r="B14" s="6"/>
      <c r="C14" s="6"/>
    </row>
    <row r="15" customFormat="false" ht="15" hidden="false" customHeight="true" outlineLevel="0" collapsed="false">
      <c r="A15" s="6" t="s">
        <v>497</v>
      </c>
      <c r="B15" s="6"/>
      <c r="C15" s="6"/>
    </row>
  </sheetData>
  <mergeCells count="6">
    <mergeCell ref="A10:C10"/>
    <mergeCell ref="A11:C11"/>
    <mergeCell ref="A12:C12"/>
    <mergeCell ref="A13:C13"/>
    <mergeCell ref="A14:C14"/>
    <mergeCell ref="A15:C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2026-10-23T15:45:26Z</dcterms:created>
  <dc:creator>openpyxl</dc:creator>
  <dc:description/>
  <dc:language>en-US</dc:language>
  <cp:lastModifiedBy/>
  <dcterms:modified xsi:type="dcterms:W3CDTF">2026-10-23T15:45:26Z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